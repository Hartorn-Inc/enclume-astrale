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1d28c034b94be2" /></Relationships>
</file>

<file path=xl/workbook.xml><?xml version="1.0" encoding="utf-8"?>
<x:workbook xmlns:x="http://schemas.openxmlformats.org/spreadsheetml/2006/main">
  <x:sheets>
    <x:sheet xmlns:r="http://schemas.openxmlformats.org/officeDocument/2006/relationships" name="01 - Guide" sheetId="1" r:id="Re7d3d888556342e4"/>
    <x:sheet xmlns:r="http://schemas.openxmlformats.org/officeDocument/2006/relationships" name="02 - Barème" sheetId="2" r:id="R7b694307305e478b"/>
    <x:sheet xmlns:r="http://schemas.openxmlformats.org/officeDocument/2006/relationships" name="03 - Devis forge" sheetId="3" r:id="Rc5a498b5a5e448c2"/>
    <x:sheet xmlns:r="http://schemas.openxmlformats.org/officeDocument/2006/relationships" name="04 - Demandes" sheetId="4" r:id="R93f71051ad0d4ba4"/>
    <x:sheet xmlns:r="http://schemas.openxmlformats.org/officeDocument/2006/relationships" name="05 - Suivi financier" sheetId="5" r:id="R4fa4f4d802df49c1"/>
    <x:sheet xmlns:r="http://schemas.openxmlformats.org/officeDocument/2006/relationships" name="06 - Arbitrages MJ" sheetId="6" r:id="R65b5df4859d2431e"/>
    <x:sheet xmlns:r="http://schemas.openxmlformats.org/officeDocument/2006/relationships" name="SRC - Règles" sheetId="7" r:id="R65ef1c2723dc49a9"/>
    <x:sheet xmlns:r="http://schemas.openxmlformats.org/officeDocument/2006/relationships" name="SRC - Thibault" sheetId="8" r:id="R4d03b1a6e3304b78"/>
    <x:sheet xmlns:r="http://schemas.openxmlformats.org/officeDocument/2006/relationships" name="SRC - Thaïs" sheetId="9" r:id="R530ac72eb0364a56"/>
    <x:sheet xmlns:r="http://schemas.openxmlformats.org/officeDocument/2006/relationships" name="SRC - Nono" sheetId="10" r:id="R9c12510434454b3d"/>
    <x:sheet xmlns:r="http://schemas.openxmlformats.org/officeDocument/2006/relationships" name="SRC - Flo" sheetId="11" r:id="R0d9d96a37a4f4918"/>
    <x:sheet xmlns:r="http://schemas.openxmlformats.org/officeDocument/2006/relationships" name="SRC - Marty" sheetId="12" r:id="R67e71c153773480c"/>
    <x:sheet xmlns:r="http://schemas.openxmlformats.org/officeDocument/2006/relationships" name="07 - Enchantements" sheetId="13" r:id="R40abff38bd14407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quot;po&quot;"/>
    <x:numFmt numFmtId="202" formatCode="#,##0"/>
    <x:numFmt numFmtId="203" formatCode="0"/>
  </x:numFmts>
  <x:fonts count="9">
    <x:font>
      <x:sz val="11"/>
      <x:name val="Carlito"/>
    </x:font>
    <x:font>
      <x:b/>
      <x:sz val="16"/>
      <x:color rgb="FFFFFFFF"/>
      <x:name val="Carlito"/>
    </x:font>
    <x:font>
      <x:sz val="10"/>
      <x:color rgb="FF1D2833"/>
      <x:name val="Carlito"/>
    </x:font>
    <x:font>
      <x:b/>
      <x:sz val="11"/>
      <x:color rgb="FFFFFFFF"/>
      <x:name val="Carlito"/>
    </x:font>
    <x:font>
      <x:sz val="11"/>
      <x:color rgb="FF1D2833"/>
      <x:name val="Carlito"/>
    </x:font>
    <x:font>
      <x:b/>
      <x:sz val="11"/>
      <x:color rgb="FF1D2833"/>
      <x:name val="Carlito"/>
    </x:font>
    <x:font>
      <x:b/>
      <x:sz val="11"/>
      <x:color rgb="FF116A74"/>
      <x:name val="Carlito"/>
    </x:font>
    <x:font>
      <x:b/>
      <x:sz val="15"/>
      <x:color rgb="FFFFFFFF"/>
      <x:name val="Carlito"/>
    </x:font>
    <x:font>
      <x:sz val="10"/>
      <x:color rgb="FF36566A"/>
      <x:name val="Carlito"/>
    </x:font>
  </x:fonts>
  <x:fills count="18">
    <x:fill>
      <x:patternFill patternType="none"/>
    </x:fill>
    <x:fill>
      <x:patternFill patternType="gray125"/>
    </x:fill>
    <x:fill>
      <x:patternFill patternType="solid">
        <x:fgColor rgb="FF17263D"/>
      </x:patternFill>
    </x:fill>
    <x:fill>
      <x:patternFill patternType="solid">
        <x:fgColor rgb="FFE8EEF5"/>
      </x:patternFill>
    </x:fill>
    <x:fill>
      <x:patternFill patternType="solid">
        <x:fgColor rgb="FF116A74"/>
      </x:patternFill>
    </x:fill>
    <x:fill>
      <x:patternFill patternType="solid">
        <x:fgColor rgb="FFF5F7FA"/>
      </x:patternFill>
    </x:fill>
    <x:fill>
      <x:patternFill patternType="solid">
        <x:fgColor rgb="FFFFFFFF"/>
      </x:patternFill>
    </x:fill>
    <x:fill>
      <x:patternFill patternType="solid">
        <x:fgColor rgb="FFD9EFF0"/>
      </x:patternFill>
    </x:fill>
    <x:fill>
      <x:patternFill patternType="solid">
        <x:fgColor rgb="FFFFF0D0"/>
      </x:patternFill>
    </x:fill>
    <x:fill>
      <x:patternFill patternType="solid">
        <x:fgColor rgb="FFEAF5F6"/>
      </x:patternFill>
    </x:fill>
    <x:fill>
      <x:patternFill patternType="solid">
        <x:fgColor rgb="FFFFF4D8"/>
      </x:patternFill>
    </x:fill>
    <x:fill>
      <x:patternFill patternType="solid">
        <x:fgColor rgb="FFF3F8F9"/>
      </x:patternFill>
    </x:fill>
    <x:fill>
      <x:patternFill patternType="solid">
        <x:fgColor rgb="FFFFF3D9"/>
      </x:patternFill>
    </x:fill>
    <x:fill>
      <x:patternFill patternType="solid">
        <x:fgColor rgb="FF152C3C"/>
      </x:patternFill>
    </x:fill>
    <x:fill>
      <x:patternFill patternType="solid">
        <x:fgColor rgb="FFEDF5FA"/>
      </x:patternFill>
    </x:fill>
    <x:fill>
      <x:patternFill patternType="solid">
        <x:fgColor rgb="FF226B80"/>
      </x:patternFill>
    </x:fill>
    <x:fill>
      <x:patternFill patternType="solid">
        <x:fgColor rgb="FFE8F1F5"/>
      </x:patternFill>
    </x:fill>
    <x:fill>
      <x:patternFill patternType="solid">
        <x:fgColor rgb="FFE1F1FF"/>
      </x:patternFill>
    </x:fill>
  </x:fills>
  <x:borders count="2">
    <x:border/>
    <x:border/>
  </x:borders>
  <x:cellStyleXfs count="1">
    <x:xf numFmtId="0" fontId="0" fillId="0" borderId="0"/>
  </x:cellStyleXfs>
  <x:cellXfs count="10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0" xfId="0" applyNumberFormat="1" applyFont="1" applyFill="1" applyBorder="1" applyAlignment="1">
      <x:alignment vertical="center" wrapText="1"/>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4" fillId="6" borderId="1" xfId="0" applyNumberFormat="1" applyFont="1" applyFill="1" applyBorder="1" applyAlignment="1">
      <x:alignmen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200" fontId="5" fillId="7" borderId="0" xfId="0" applyNumberFormat="1" applyFont="1" applyFill="1" applyBorder="1"/>
    <x:xf numFmtId="200" fontId="5" fillId="7"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wrapText="1"/>
    </x:xf>
    <x:xf numFmtId="0" fontId="0" fillId="8" borderId="0" xfId="0" applyNumberFormat="1" applyFont="1" applyFill="1" applyBorder="1" applyAlignment="1">
      <x:alignment vertical="center" wrapText="1"/>
    </x:xf>
    <x:xf numFmtId="0" fontId="0" fillId="8" borderId="1" xfId="0" applyNumberFormat="1" applyFont="1" applyFill="1" applyBorder="1"/>
    <x:xf numFmtId="0" fontId="0" fillId="8" borderId="1" xfId="0" applyNumberFormat="1" applyFont="1" applyFill="1" applyBorder="1" applyAlignment="1">
      <x:alignment wrapText="1"/>
    </x:xf>
    <x:xf numFmtId="0" fontId="0" fillId="8" borderId="1" xfId="0" applyNumberFormat="1" applyFont="1" applyFill="1" applyBorder="1" applyAlignment="1">
      <x:alignment vertical="center" wrapText="1"/>
    </x:xf>
    <x:xf numFmtId="201" fontId="0" fillId="0" borderId="0" xfId="0" applyNumberFormat="1" applyFont="1" applyFill="1" applyBorder="1"/>
    <x:xf numFmtId="201" fontId="3" fillId="4" borderId="0" xfId="0" applyNumberFormat="1" applyFont="1" applyFill="1" applyBorder="1" applyAlignment="1">
      <x:alignment vertical="center" wrapText="1"/>
    </x:xf>
    <x:xf numFmtId="201" fontId="0" fillId="0" borderId="1" xfId="0" applyNumberFormat="1" applyFont="1" applyFill="1" applyBorder="1"/>
    <x:xf numFmtId="201" fontId="3" fillId="4" borderId="1" xfId="0" applyNumberFormat="1" applyFont="1" applyFill="1" applyBorder="1" applyAlignment="1">
      <x:alignment vertical="center" wrapText="1"/>
    </x:xf>
    <x:xf numFmtId="0" fontId="0" fillId="9" borderId="0" xfId="0" applyNumberFormat="1" applyFont="1" applyFill="1" applyBorder="1"/>
    <x:xf numFmtId="0" fontId="0" fillId="9" borderId="1" xfId="0" applyNumberFormat="1" applyFont="1" applyFill="1" applyBorder="1"/>
    <x:xf numFmtId="0" fontId="0" fillId="10" borderId="0" xfId="0" applyNumberFormat="1" applyFont="1" applyFill="1" applyBorder="1"/>
    <x:xf numFmtId="0" fontId="0" fillId="10" borderId="1" xfId="0" applyNumberFormat="1" applyFont="1" applyFill="1" applyBorder="1"/>
    <x:xf numFmtId="202" fontId="0" fillId="0" borderId="0" xfId="0" applyNumberFormat="1" applyFont="1" applyFill="1" applyBorder="1"/>
    <x:xf numFmtId="202" fontId="0" fillId="9" borderId="0" xfId="0" applyNumberFormat="1" applyFont="1" applyFill="1" applyBorder="1"/>
    <x:xf numFmtId="202" fontId="0" fillId="10" borderId="0" xfId="0" applyNumberFormat="1" applyFont="1" applyFill="1" applyBorder="1"/>
    <x:xf numFmtId="202" fontId="0" fillId="0" borderId="1" xfId="0" applyNumberFormat="1" applyFont="1" applyFill="1" applyBorder="1"/>
    <x:xf numFmtId="202" fontId="0" fillId="9" borderId="1" xfId="0" applyNumberFormat="1" applyFont="1" applyFill="1" applyBorder="1"/>
    <x:xf numFmtId="202" fontId="0" fillId="10" borderId="1" xfId="0" applyNumberFormat="1" applyFont="1" applyFill="1" applyBorder="1"/>
    <x:xf numFmtId="200" fontId="0" fillId="9" borderId="0" xfId="0" applyNumberFormat="1" applyFont="1" applyFill="1" applyBorder="1"/>
    <x:xf numFmtId="200" fontId="0" fillId="9"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11" borderId="0" xfId="0" applyNumberFormat="1" applyFont="1" applyFill="1" applyBorder="1" applyAlignment="1">
      <x:alignment wrapText="1"/>
    </x:xf>
    <x:xf numFmtId="0" fontId="0" fillId="11" borderId="1" xfId="0" applyNumberFormat="1" applyFont="1" applyFill="1" applyBorder="1" applyAlignment="1">
      <x:alignment wrapText="1"/>
    </x:xf>
    <x:xf numFmtId="201" fontId="0" fillId="12" borderId="0" xfId="0" applyNumberFormat="1" applyFont="1" applyFill="1" applyBorder="1"/>
    <x:xf numFmtId="201" fontId="0" fillId="12" borderId="1" xfId="0" applyNumberFormat="1" applyFont="1" applyFill="1" applyBorder="1"/>
    <x:xf numFmtId="201" fontId="0" fillId="10" borderId="0" xfId="0" applyNumberFormat="1" applyFont="1" applyFill="1" applyBorder="1"/>
    <x:xf numFmtId="201" fontId="0" fillId="10" borderId="1" xfId="0" applyNumberFormat="1" applyFont="1" applyFill="1" applyBorder="1"/>
    <x:xf numFmtId="0" fontId="0" fillId="0" borderId="0" xfId="0" applyNumberFormat="1" applyFont="1" applyFill="1" applyBorder="1"/>
    <x:xf numFmtId="0" fontId="0" fillId="13" borderId="0" xfId="0" applyNumberFormat="1" applyFont="1" applyFill="1" applyBorder="1"/>
    <x:xf numFmtId="0" fontId="7" fillId="13" borderId="0" xfId="0" applyNumberFormat="1" applyFont="1" applyFill="1" applyBorder="1"/>
    <x:xf numFmtId="0" fontId="7" fillId="13" borderId="0" xfId="0" applyNumberFormat="1" applyFont="1" applyFill="1" applyBorder="1" applyAlignment="1">
      <x:alignment vertical="center"/>
    </x:xf>
    <x:xf numFmtId="0" fontId="0" fillId="14" borderId="0" xfId="0" applyNumberFormat="1" applyFont="1" applyFill="1" applyBorder="1"/>
    <x:xf numFmtId="0" fontId="8" fillId="14" borderId="0" xfId="0" applyNumberFormat="1" applyFont="1" applyFill="1" applyBorder="1"/>
    <x:xf numFmtId="0" fontId="8" fillId="14" borderId="0" xfId="0" applyNumberFormat="1" applyFont="1" applyFill="1" applyBorder="1" applyAlignment="1">
      <x:alignment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16" borderId="0" xfId="0" applyNumberFormat="1" applyFont="1" applyFill="1" applyBorder="1"/>
    <x:xf numFmtId="0" fontId="0" fillId="16" borderId="0" xfId="0" applyNumberFormat="1" applyFont="1" applyFill="1" applyBorder="1" applyAlignment="1">
      <x:alignment wrapText="1"/>
    </x:xf>
    <x:xf numFmtId="203" fontId="0" fillId="0" borderId="0" xfId="0" applyNumberFormat="1" applyFont="1" applyFill="1" applyBorder="1" applyAlignment="1">
      <x:alignment vertical="center" wrapText="1"/>
    </x:xf>
    <x:xf numFmtId="203" fontId="0" fillId="17" borderId="0" xfId="0" applyNumberFormat="1" applyFont="1" applyFill="1" applyBorder="1" applyAlignment="1">
      <x:alignment vertical="center" wrapText="1"/>
    </x:xf>
  </x:cellXfs>
  <x:cellStyles count="1">
    <x:cellStyle name="Normal" xfId="0"/>
  </x:cellStyles>
  <x:dxfs count="2">
    <x:dxf>
      <x:fill>
        <x:patternFill>
          <x:bgColor rgb="FFFFF0D0"/>
        </x:patternFill>
      </x:fill>
    </x:dxf>
    <x:dxf>
      <x:fill>
        <x:patternFill>
          <x:bgColor rgb="FFFFF0D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ed409c299242b1" /><Relationship Type="http://schemas.openxmlformats.org/officeDocument/2006/relationships/theme" Target="/xl/theme/theme1.xml" Id="R128b83cece7f4a87" /><Relationship Type="http://schemas.openxmlformats.org/officeDocument/2006/relationships/sharedStrings" Target="/xl/sharedStrings.xml" Id="R237e5f9424c44829" /><Relationship Type="http://schemas.openxmlformats.org/officeDocument/2006/relationships/worksheet" Target="/xl/worksheets/sheet1.xml" Id="Re7d3d888556342e4" /><Relationship Type="http://schemas.openxmlformats.org/officeDocument/2006/relationships/worksheet" Target="/xl/worksheets/sheet2.xml" Id="R7b694307305e478b" /><Relationship Type="http://schemas.openxmlformats.org/officeDocument/2006/relationships/worksheet" Target="/xl/worksheets/sheet3.xml" Id="Rc5a498b5a5e448c2" /><Relationship Type="http://schemas.openxmlformats.org/officeDocument/2006/relationships/worksheet" Target="/xl/worksheets/sheet4.xml" Id="R93f71051ad0d4ba4" /><Relationship Type="http://schemas.openxmlformats.org/officeDocument/2006/relationships/worksheet" Target="/xl/worksheets/sheet5.xml" Id="R4fa4f4d802df49c1" /><Relationship Type="http://schemas.openxmlformats.org/officeDocument/2006/relationships/worksheet" Target="/xl/worksheets/sheet6.xml" Id="R65b5df4859d2431e" /><Relationship Type="http://schemas.openxmlformats.org/officeDocument/2006/relationships/worksheet" Target="/xl/worksheets/sheet7.xml" Id="R65ef1c2723dc49a9" /><Relationship Type="http://schemas.openxmlformats.org/officeDocument/2006/relationships/worksheet" Target="/xl/worksheets/sheet8.xml" Id="R4d03b1a6e3304b78" /><Relationship Type="http://schemas.openxmlformats.org/officeDocument/2006/relationships/worksheet" Target="/xl/worksheets/sheet9.xml" Id="R530ac72eb0364a56" /><Relationship Type="http://schemas.openxmlformats.org/officeDocument/2006/relationships/worksheet" Target="/xl/worksheets/sheet10.xml" Id="R9c12510434454b3d" /><Relationship Type="http://schemas.openxmlformats.org/officeDocument/2006/relationships/worksheet" Target="/xl/worksheets/sheet11.xml" Id="R0d9d96a37a4f4918" /><Relationship Type="http://schemas.openxmlformats.org/officeDocument/2006/relationships/worksheet" Target="/xl/worksheets/sheet12.xml" Id="R67e71c153773480c" /><Relationship Type="http://schemas.openxmlformats.org/officeDocument/2006/relationships/worksheet" Target="/xl/worksheets/sheet13.xml" Id="R40abff38bd14407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16" hidden="0" customWidth="1"/>
    <x:col min="2" max="2" width="16" hidden="0" customWidth="1"/>
    <x:col min="3" max="3" width="20" hidden="0" customWidth="1"/>
    <x:col min="4" max="4" width="20" hidden="0" customWidth="1"/>
    <x:col min="5" max="5" width="19" hidden="0" customWidth="1"/>
    <x:col min="6" max="6" width="20" hidden="0" customWidth="1"/>
    <x:col min="7" max="7" width="20" hidden="0" customWidth="1"/>
    <x:col min="8" max="8" width="19" hidden="0" customWidth="1"/>
  </x:cols>
  <x:sheetData>
    <x:row r="1" ht="36" customHeight="1">
      <x:c r="A1" s="4" t="str">
        <x:v>FORGE MAGIQUE &amp; ACHATS — Guide MJ</x:v>
      </x:c>
      <x:c r="B1" s="4"/>
      <x:c r="C1" s="4"/>
      <x:c r="D1" s="4"/>
      <x:c r="E1" s="4"/>
      <x:c r="F1" s="4"/>
      <x:c r="G1" s="4"/>
      <x:c r="H1" s="4"/>
    </x:row>
    <x:row r="2" ht="27" customHeight="1">
      <x:c r="A2" s="11" t="str">
        <x:v>Version réorganisée du classeur transmis • Les tarifs sont des règles maison, pas les prix officiels 3.5 ou 5e.</x:v>
      </x:c>
      <x:c r="B2" s="11"/>
      <x:c r="C2" s="11"/>
      <x:c r="D2" s="11"/>
      <x:c r="E2" s="11"/>
      <x:c r="F2" s="11"/>
      <x:c r="G2" s="11"/>
      <x:c r="H2" s="11"/>
    </x:row>
    <x:row r="4" ht="21" customHeight="1">
      <x:c r="A4" s="19" t="str">
        <x:v>PRINCIPE</x:v>
      </x:c>
      <x:c r="B4" s="19"/>
      <x:c r="C4" s="27" t="str">
        <x:v>Le bonus réel (+1, +2…) et le niveau de coût sont deux notions distinctes. Le bonus réel a ses effets mécaniques en jeu ; le niveau de coût sert seulement aux prix.</x:v>
      </x:c>
      <x:c r="D4" s="27"/>
      <x:c r="E4" s="27"/>
      <x:c r="F4" s="27"/>
      <x:c r="G4" s="27"/>
      <x:c r="H4" s="27"/>
    </x:row>
    <x:row r="5" ht="21" customHeight="1">
      <x:c r="C5" s="27"/>
      <x:c r="D5" s="27"/>
      <x:c r="E5" s="27"/>
      <x:c r="F5" s="27"/>
      <x:c r="G5" s="27"/>
      <x:c r="H5" s="27"/>
    </x:row>
    <x:row r="6" ht="21" customHeight="1">
      <x:c r="A6" s="19" t="str">
        <x:v>CONVERSION DES BONUS</x:v>
      </x:c>
      <x:c r="B6" s="19"/>
      <x:c r="C6" s="35" t="str">
        <x:v>+1 réel = niveau 1 ; +2 = niveau 3 ; +3 = niveau 6 ; +4 = niveau 10. Progression triangulaire : B × (B+1) / 2.</x:v>
      </x:c>
      <x:c r="D6" s="35"/>
      <x:c r="E6" s="35"/>
      <x:c r="F6" s="35"/>
      <x:c r="G6" s="35"/>
      <x:c r="H6" s="35"/>
    </x:row>
    <x:row r="7" ht="21" customHeight="1">
      <x:c r="C7" s="35"/>
      <x:c r="D7" s="35"/>
      <x:c r="E7" s="35"/>
      <x:c r="F7" s="35"/>
      <x:c r="G7" s="35"/>
      <x:c r="H7" s="35"/>
    </x:row>
    <x:row r="8" ht="21" customHeight="1">
      <x:c r="A8" s="19" t="str">
        <x:v>PROPRIÉTÉS MAGIQUES</x:v>
      </x:c>
      <x:c r="B8" s="19"/>
      <x:c r="C8" s="27" t="str">
        <x:v>Les propriétés possèdent un coût équivalent maison (+1, +2…), fixé pour l'équilibrage D&amp;D 5e. Gemmaline / D&amp;D 3.5 sert de référence d'inspiration, pas de grille tarifaire imposée.</x:v>
      </x:c>
      <x:c r="D8" s="27"/>
      <x:c r="E8" s="27"/>
      <x:c r="F8" s="27"/>
      <x:c r="G8" s="27"/>
      <x:c r="H8" s="27"/>
    </x:row>
    <x:row r="9" ht="21" customHeight="1">
      <x:c r="C9" s="27"/>
      <x:c r="D9" s="27"/>
      <x:c r="E9" s="27"/>
      <x:c r="F9" s="27"/>
      <x:c r="G9" s="27"/>
      <x:c r="H9" s="27"/>
    </x:row>
    <x:row r="10" ht="21" customHeight="1">
      <x:c r="A10" s="19" t="str">
        <x:v>FORMULE MAISON</x:v>
      </x:c>
      <x:c r="B10" s="19"/>
      <x:c r="C10" s="35" t="str">
        <x:v>Niveau total = B × (B+1)/2 + E. Prix arme (po) = 1 000 × niveau total². Armure / bouclier = 85 % ; autre objet = 80 % (coefficient expérimental).</x:v>
      </x:c>
      <x:c r="D10" s="35"/>
      <x:c r="E10" s="35"/>
      <x:c r="F10" s="35"/>
      <x:c r="G10" s="35"/>
      <x:c r="H10" s="35"/>
    </x:row>
    <x:row r="11" ht="21" customHeight="1">
      <x:c r="C11" s="35"/>
      <x:c r="D11" s="35"/>
      <x:c r="E11" s="35"/>
      <x:c r="F11" s="35"/>
      <x:c r="G11" s="35"/>
      <x:c r="H11" s="35"/>
    </x:row>
    <x:row r="12" ht="21" customHeight="1">
      <x:c r="A12" s="19" t="str">
        <x:v>AMÉLIORATION</x:v>
      </x:c>
      <x:c r="B12" s="19"/>
      <x:c r="C12" s="27" t="str">
        <x:v>Niveau total = B × (B+1)/2 + somme des équivalences D&amp;D 5e attribuées aux propriétés. Prix arme = 1 000 × niveau total² ; armure / bouclier = 85 % ; autre objet = 80 %.</x:v>
      </x:c>
      <x:c r="D12" s="27"/>
      <x:c r="E12" s="27"/>
      <x:c r="F12" s="27"/>
      <x:c r="G12" s="27"/>
      <x:c r="H12" s="27"/>
    </x:row>
    <x:row r="13" ht="21" customHeight="1">
      <x:c r="C13" s="27"/>
      <x:c r="D13" s="27"/>
      <x:c r="E13" s="27"/>
      <x:c r="F13" s="27"/>
      <x:c r="G13" s="27"/>
      <x:c r="H13" s="27"/>
    </x:row>
    <x:row r="14" ht="21" customHeight="1">
      <x:c r="A14" s="19" t="str">
        <x:v>DEUX GRILLES À NE PAS CONFONDRE</x:v>
      </x:c>
      <x:c r="B14" s="19"/>
      <x:c r="C14" s="35" t="str">
        <x:v>Les prix et les équivalences de D&amp;D 3.5 ne sont pas repris à l'identique : le modèle conserve les paliers triangulaires et les coefficients maison du fichier source.</x:v>
      </x:c>
      <x:c r="D14" s="35"/>
      <x:c r="E14" s="35"/>
      <x:c r="F14" s="35"/>
      <x:c r="G14" s="35"/>
      <x:c r="H14" s="35"/>
    </x:row>
    <x:row r="15" ht="21" customHeight="1">
      <x:c r="C15" s="35"/>
      <x:c r="D15" s="35"/>
      <x:c r="E15" s="35"/>
      <x:c r="F15" s="35"/>
      <x:c r="G15" s="35"/>
      <x:c r="H15" s="35"/>
    </x:row>
    <x:row r="16" ht="21" customHeight="1">
      <x:c r="A16" s="19" t="str">
        <x:v>EXEMPLE CONFIRMÉ</x:v>
      </x:c>
      <x:c r="B16" s="19"/>
      <x:c r="C16" s="27" t="str">
        <x:v>Arc +2 « Sournoise » (+1 maison) « Frugale » (+1 maison) : niveau de coût = 3 + 1 + 1 = 5 ; prix = 1 000 × 5² = 25 000 po. Conforme à l'exemple original.</x:v>
      </x:c>
      <x:c r="D16" s="27"/>
      <x:c r="E16" s="27"/>
      <x:c r="F16" s="27"/>
      <x:c r="G16" s="27"/>
      <x:c r="H16" s="27"/>
    </x:row>
    <x:row r="17" ht="21" customHeight="1">
      <x:c r="C17" s="27"/>
      <x:c r="D17" s="27"/>
      <x:c r="E17" s="27"/>
      <x:c r="F17" s="27"/>
      <x:c r="G17" s="27"/>
      <x:c r="H17" s="27"/>
    </x:row>
    <x:row r="18" ht="21" customHeight="1">
      <x:c r="A18" s="19" t="str">
        <x:v>ACHAT VS FORGE</x:v>
      </x:c>
      <x:c r="B18" s="19"/>
      <x:c r="C18" s="35" t="str">
        <x:v>Achat sur catalogue : prix défini par la rareté ou un devis MJ. Forge : calcul du coût de l’enchantement uniquement. Ne pas appliquer automatiquement la formule de forge à tous les objets merveilleux, consommables ou uniques.</x:v>
      </x:c>
      <x:c r="D18" s="35"/>
      <x:c r="E18" s="35"/>
      <x:c r="F18" s="35"/>
      <x:c r="G18" s="35"/>
      <x:c r="H18" s="35"/>
    </x:row>
    <x:row r="19" ht="21" customHeight="1">
      <x:c r="C19" s="35"/>
      <x:c r="D19" s="35"/>
      <x:c r="E19" s="35"/>
      <x:c r="F19" s="35"/>
      <x:c r="G19" s="35"/>
      <x:c r="H19" s="35"/>
    </x:row>
    <x:row r="20" ht="21" customHeight="1">
      <x:c r="A20" s="19" t="str">
        <x:v>ÉQUILIBRAGE D&amp;D 5e</x:v>
      </x:c>
      <x:c r="B20" s="19"/>
      <x:c r="C20" s="27" t="str">
        <x:v>Une propriété issue de 3.5 doit être adaptée à la mécanique 5e ; le bonus d’attaque de base (BBA) n’existe plus. Les bonus CA, DD des sorts, actions, charges et liens d’harmonisation sont à contrôler.</x:v>
      </x:c>
      <x:c r="D20" s="27"/>
      <x:c r="E20" s="27"/>
      <x:c r="F20" s="27"/>
      <x:c r="G20" s="27"/>
      <x:c r="H20" s="27"/>
    </x:row>
    <x:row r="21" ht="21" customHeight="1">
      <x:c r="C21" s="27"/>
      <x:c r="D21" s="27"/>
      <x:c r="E21" s="27"/>
      <x:c r="F21" s="27"/>
      <x:c r="G21" s="27"/>
      <x:c r="H21" s="27"/>
    </x:row>
    <x:row r="22" ht="21" customHeight="1">
      <x:c r="A22" s="42" t="str">
        <x:v>STATUT DES DEMANDES</x:v>
      </x:c>
      <x:c r="B22" s="42"/>
      <x:c r="C22" s="35" t="str">
        <x:v>« Retenu », « oui » ou un prix négocié dans la source ne prouvent pas qu’un achat a été payé. Le catalogue conserve ces mentions sans les transformer en dépenses.</x:v>
      </x:c>
      <x:c r="D22" s="35"/>
      <x:c r="E22" s="35"/>
      <x:c r="F22" s="35"/>
      <x:c r="G22" s="35"/>
      <x:c r="H22" s="35"/>
    </x:row>
    <x:row r="23" ht="21" customHeight="1">
      <x:c r="C23" s="35"/>
      <x:c r="D23" s="35"/>
      <x:c r="E23" s="35"/>
      <x:c r="F23" s="35"/>
      <x:c r="G23" s="35"/>
      <x:c r="H23" s="35"/>
    </x:row>
    <x:row r="24" ht="21" customHeight="1">
      <x:c r="A24" s="42" t="str">
        <x:v>SOURCES</x:v>
      </x:c>
      <x:c r="B24" s="42"/>
      <x:c r="C24" s="27" t="str">
        <x:v>Gemmaline armes 3.5 : https://www.gemmaline.com/armemagique.htm</x:v>
      </x:c>
      <x:c r="D24" s="27"/>
      <x:c r="E24" s="27"/>
      <x:c r="F24" s="27"/>
      <x:c r="G24" s="27"/>
      <x:c r="H24" s="27"/>
    </x:row>
    <x:row r="25" ht="21" customHeight="1">
      <x:c r="C25" s="27"/>
      <x:c r="D25" s="27"/>
      <x:c r="E25" s="27"/>
      <x:c r="F25" s="27"/>
      <x:c r="G25" s="27"/>
      <x:c r="H25" s="27"/>
    </x:row>
    <x:row r="26" ht="21" customHeight="1">
      <x:c r="A26" s="42" t="str">
        <x:v>SOURCES</x:v>
      </x:c>
      <x:c r="B26" s="42"/>
      <x:c r="C26" s="35" t="str">
        <x:v>Gemmaline armures 3.5 : https://www.gemmaline.com/armuremagique.htm</x:v>
      </x:c>
      <x:c r="D26" s="35"/>
      <x:c r="E26" s="35"/>
      <x:c r="F26" s="35"/>
      <x:c r="G26" s="35"/>
      <x:c r="H26" s="35"/>
    </x:row>
    <x:row r="27" ht="21" customHeight="1">
      <x:c r="C27" s="35"/>
      <x:c r="D27" s="35"/>
      <x:c r="E27" s="35"/>
      <x:c r="F27" s="35"/>
      <x:c r="G27" s="35"/>
      <x:c r="H27" s="35"/>
    </x:row>
    <x:row r="28" ht="21" customHeight="1">
      <x:c r="A28" s="42" t="str">
        <x:v>SOURCES</x:v>
      </x:c>
      <x:c r="B28" s="42"/>
      <x:c r="C28" s="27" t="str">
        <x:v>DMG 2024 – Magic Items : https://www.dndbeyond.com/sources/dnd/br-2024/magic-items</x:v>
      </x:c>
      <x:c r="D28" s="27"/>
      <x:c r="E28" s="27"/>
      <x:c r="F28" s="27"/>
      <x:c r="G28" s="27"/>
      <x:c r="H28" s="27"/>
    </x:row>
    <x:row r="29" ht="21" customHeight="1">
      <x:c r="C29" s="27"/>
      <x:c r="D29" s="27"/>
      <x:c r="E29" s="27"/>
      <x:c r="F29" s="27"/>
      <x:c r="G29" s="27"/>
      <x:c r="H29" s="27"/>
    </x:row>
  </x:sheetData>
  <x:mergeCells>
    <x:mergeCell ref="A1:H1"/>
    <x:mergeCell ref="A2:H2"/>
    <x:mergeCell ref="A4:B4"/>
    <x:mergeCell ref="C4:H5"/>
    <x:mergeCell ref="A6:B6"/>
    <x:mergeCell ref="C6:H7"/>
    <x:mergeCell ref="A8:B8"/>
    <x:mergeCell ref="C8:H9"/>
    <x:mergeCell ref="A10:B10"/>
    <x:mergeCell ref="C10:H11"/>
    <x:mergeCell ref="A12:B12"/>
    <x:mergeCell ref="C12:H13"/>
    <x:mergeCell ref="A14:B14"/>
    <x:mergeCell ref="C14:H15"/>
    <x:mergeCell ref="A16:B16"/>
    <x:mergeCell ref="C16:H17"/>
    <x:mergeCell ref="A18:B18"/>
    <x:mergeCell ref="C18:H19"/>
    <x:mergeCell ref="A20:B20"/>
    <x:mergeCell ref="C20:H21"/>
    <x:mergeCell ref="A22:B22"/>
    <x:mergeCell ref="C22:H23"/>
    <x:mergeCell ref="A24:B24"/>
    <x:mergeCell ref="C24:H25"/>
    <x:mergeCell ref="A26:B26"/>
    <x:mergeCell ref="C26:H27"/>
    <x:mergeCell ref="A28:B28"/>
    <x:mergeCell ref="C28:H29"/>
  </x:mergeCells>
  <x:pageMargins left="0.7" right="0.7" top="0.75" bottom="0.75" header="0.3" footer="0.3"/>
</x:worksheet>
</file>

<file path=xl/worksheets/sheet2.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1" hidden="0" customWidth="1"/>
    <x:col min="2" max="2" width="18" hidden="0" customWidth="1"/>
    <x:col min="3" max="3" width="28" hidden="0" customWidth="1"/>
    <x:col min="4" max="4" width="26" hidden="0" customWidth="1"/>
    <x:col min="5" max="5" width="40" hidden="0" customWidth="1"/>
    <x:col min="6" max="6" width="16" hidden="0" customWidth="1"/>
    <x:col min="7" max="7" width="16" hidden="0" customWidth="1"/>
    <x:col min="8" max="8" width="16" hidden="0" customWidth="1"/>
  </x:cols>
  <x:sheetData>
    <x:row r="1" ht="36" customHeight="1">
      <x:c r="A1" s="4" t="str">
        <x:v>BARÈME MAISON — niveaux de coût</x:v>
      </x:c>
      <x:c r="B1" s="4"/>
      <x:c r="C1" s="4"/>
      <x:c r="D1" s="4"/>
      <x:c r="E1" s="4"/>
      <x:c r="F1" s="4"/>
      <x:c r="G1" s="4"/>
      <x:c r="H1" s="4"/>
    </x:row>
    <x:row r="2" ht="27" customHeight="1">
      <x:c r="A2" s="11" t="str">
        <x:v>Formules modifiables dans les cellules bleutées. Les prix ne présument pas de la disponibilité des objets.</x:v>
      </x:c>
      <x:c r="B2" s="11"/>
      <x:c r="C2" s="11"/>
      <x:c r="D2" s="11"/>
      <x:c r="E2" s="11"/>
      <x:c r="F2" s="11"/>
      <x:c r="G2" s="11"/>
      <x:c r="H2" s="11"/>
    </x:row>
    <x:row r="3">
      <x:c r="A3" t="str">
        <x:v>Base (po)</x:v>
      </x:c>
      <x:c r="B3" s="47" t="n">
        <x:v>1000</x:v>
      </x:c>
    </x:row>
    <x:row r="4">
      <x:c r="A4" t="str">
        <x:v>Coefficient armure / bouclier</x:v>
      </x:c>
      <x:c r="B4" s="50" t="n">
        <x:v>0.85</x:v>
      </x:c>
    </x:row>
    <x:row r="5">
      <x:c r="A5" t="str">
        <x:v>Coefficient autre objet</x:v>
      </x:c>
      <x:c r="B5" s="50" t="n">
        <x:v>0.8</x:v>
      </x:c>
    </x:row>
    <x:row r="8" ht="30" customHeight="1">
      <x:c r="A8" s="19" t="str">
        <x:v>Niveau total</x:v>
      </x:c>
      <x:c r="B8" s="19" t="str">
        <x:v>Arme (po)</x:v>
      </x:c>
      <x:c r="C8" s="19" t="str">
        <x:v>Armure / bouclier (po)</x:v>
      </x:c>
      <x:c r="D8" s="19" t="str">
        <x:v>Autre objet (po)</x:v>
      </x:c>
    </x:row>
    <x:row r="9">
      <x:c r="A9" t="n">
        <x:v>1</x:v>
      </x:c>
      <x:c r="B9" s="60" t="n">
        <x:f>$B$3*A9^2</x:f>
        <x:v>1000</x:v>
      </x:c>
      <x:c r="C9" s="60" t="n">
        <x:f>B9*$B$4</x:f>
        <x:v>850</x:v>
      </x:c>
      <x:c r="D9" s="60" t="n">
        <x:f>B9*$B$5</x:f>
        <x:v>800</x:v>
      </x:c>
    </x:row>
    <x:row r="10">
      <x:c r="A10" t="n">
        <x:v>2</x:v>
      </x:c>
      <x:c r="B10" s="60" t="n">
        <x:f>$B$3*A10^2</x:f>
        <x:v>4000</x:v>
      </x:c>
      <x:c r="C10" s="60" t="n">
        <x:f>B10*$B$4</x:f>
        <x:v>3400</x:v>
      </x:c>
      <x:c r="D10" s="60" t="n">
        <x:f>B10*$B$5</x:f>
        <x:v>3200</x:v>
      </x:c>
    </x:row>
    <x:row r="11">
      <x:c r="A11" t="n">
        <x:v>3</x:v>
      </x:c>
      <x:c r="B11" s="60" t="n">
        <x:f>$B$3*A11^2</x:f>
        <x:v>9000</x:v>
      </x:c>
      <x:c r="C11" s="60" t="n">
        <x:f>B11*$B$4</x:f>
        <x:v>7650</x:v>
      </x:c>
      <x:c r="D11" s="60" t="n">
        <x:f>B11*$B$5</x:f>
        <x:v>7200</x:v>
      </x:c>
    </x:row>
    <x:row r="12">
      <x:c r="A12" t="n">
        <x:v>4</x:v>
      </x:c>
      <x:c r="B12" s="60" t="n">
        <x:f>$B$3*A12^2</x:f>
        <x:v>16000</x:v>
      </x:c>
      <x:c r="C12" s="60" t="n">
        <x:f>B12*$B$4</x:f>
        <x:v>13600</x:v>
      </x:c>
      <x:c r="D12" s="60" t="n">
        <x:f>B12*$B$5</x:f>
        <x:v>12800</x:v>
      </x:c>
    </x:row>
    <x:row r="13">
      <x:c r="A13" t="n">
        <x:v>5</x:v>
      </x:c>
      <x:c r="B13" s="60" t="n">
        <x:f>$B$3*A13^2</x:f>
        <x:v>25000</x:v>
      </x:c>
      <x:c r="C13" s="60" t="n">
        <x:f>B13*$B$4</x:f>
        <x:v>21250</x:v>
      </x:c>
      <x:c r="D13" s="60" t="n">
        <x:f>B13*$B$5</x:f>
        <x:v>20000</x:v>
      </x:c>
    </x:row>
    <x:row r="14">
      <x:c r="A14" t="n">
        <x:v>6</x:v>
      </x:c>
      <x:c r="B14" s="60" t="n">
        <x:f>$B$3*A14^2</x:f>
        <x:v>36000</x:v>
      </x:c>
      <x:c r="C14" s="60" t="n">
        <x:f>B14*$B$4</x:f>
        <x:v>30600</x:v>
      </x:c>
      <x:c r="D14" s="60" t="n">
        <x:f>B14*$B$5</x:f>
        <x:v>28800</x:v>
      </x:c>
    </x:row>
    <x:row r="15">
      <x:c r="A15" t="n">
        <x:v>7</x:v>
      </x:c>
      <x:c r="B15" s="60" t="n">
        <x:f>$B$3*A15^2</x:f>
        <x:v>49000</x:v>
      </x:c>
      <x:c r="C15" s="60" t="n">
        <x:f>B15*$B$4</x:f>
        <x:v>41650</x:v>
      </x:c>
      <x:c r="D15" s="60" t="n">
        <x:f>B15*$B$5</x:f>
        <x:v>39200</x:v>
      </x:c>
    </x:row>
    <x:row r="16">
      <x:c r="A16" t="n">
        <x:v>8</x:v>
      </x:c>
      <x:c r="B16" s="60" t="n">
        <x:f>$B$3*A16^2</x:f>
        <x:v>64000</x:v>
      </x:c>
      <x:c r="C16" s="60" t="n">
        <x:f>B16*$B$4</x:f>
        <x:v>54400</x:v>
      </x:c>
      <x:c r="D16" s="60" t="n">
        <x:f>B16*$B$5</x:f>
        <x:v>51200</x:v>
      </x:c>
    </x:row>
    <x:row r="17">
      <x:c r="A17" t="n">
        <x:v>9</x:v>
      </x:c>
      <x:c r="B17" s="60" t="n">
        <x:f>$B$3*A17^2</x:f>
        <x:v>81000</x:v>
      </x:c>
      <x:c r="C17" s="60" t="n">
        <x:f>B17*$B$4</x:f>
        <x:v>68850</x:v>
      </x:c>
      <x:c r="D17" s="60" t="n">
        <x:f>B17*$B$5</x:f>
        <x:v>64800</x:v>
      </x:c>
    </x:row>
    <x:row r="18">
      <x:c r="A18" t="n">
        <x:v>10</x:v>
      </x:c>
      <x:c r="B18" s="60" t="n">
        <x:f>$B$3*A18^2</x:f>
        <x:v>100000</x:v>
      </x:c>
      <x:c r="C18" s="60" t="n">
        <x:f>B18*$B$4</x:f>
        <x:v>85000</x:v>
      </x:c>
      <x:c r="D18" s="60" t="n">
        <x:f>B18*$B$5</x:f>
        <x:v>80000</x:v>
      </x:c>
    </x:row>
    <x:row r="19">
      <x:c r="B19" s="60"/>
      <x:c r="C19" s="60"/>
      <x:c r="D19" s="60"/>
    </x:row>
    <x:row r="20">
      <x:c r="B20" s="60"/>
      <x:c r="C20" s="60"/>
      <x:c r="D20" s="60"/>
    </x:row>
    <x:row r="21" ht="30" customHeight="1">
      <x:c r="A21" s="19" t="str">
        <x:v>Bonus réel</x:v>
      </x:c>
      <x:c r="B21" s="61" t="str">
        <x:v>Niveau de coût</x:v>
      </x:c>
      <x:c r="C21" s="61" t="str">
        <x:v>Prix arme pure</x:v>
      </x:c>
      <x:c r="D21" s="61" t="str">
        <x:v>Prix armure pure</x:v>
      </x:c>
    </x:row>
    <x:row r="22">
      <x:c r="A22" t="n">
        <x:v>1</x:v>
      </x:c>
      <x:c r="B22" s="60" t="n">
        <x:f>A22*(A22+1)/2</x:f>
        <x:v>1</x:v>
      </x:c>
      <x:c r="C22" s="60" t="n">
        <x:f>$B$3*B22^2</x:f>
        <x:v>1000</x:v>
      </x:c>
      <x:c r="D22" s="60" t="n">
        <x:f>C22*$B$4</x:f>
        <x:v>850</x:v>
      </x:c>
    </x:row>
    <x:row r="23">
      <x:c r="A23" t="n">
        <x:v>2</x:v>
      </x:c>
      <x:c r="B23" s="60" t="n">
        <x:f>A23*(A23+1)/2</x:f>
        <x:v>3</x:v>
      </x:c>
      <x:c r="C23" s="60" t="n">
        <x:f>$B$3*B23^2</x:f>
        <x:v>9000</x:v>
      </x:c>
      <x:c r="D23" s="60" t="n">
        <x:f>C23*$B$4</x:f>
        <x:v>7650</x:v>
      </x:c>
    </x:row>
    <x:row r="24">
      <x:c r="A24" t="n">
        <x:v>3</x:v>
      </x:c>
      <x:c r="B24" s="60" t="n">
        <x:f>A24*(A24+1)/2</x:f>
        <x:v>6</x:v>
      </x:c>
      <x:c r="C24" s="60" t="n">
        <x:f>$B$3*B24^2</x:f>
        <x:v>36000</x:v>
      </x:c>
      <x:c r="D24" s="60" t="n">
        <x:f>C24*$B$4</x:f>
        <x:v>30600</x:v>
      </x:c>
    </x:row>
    <x:row r="25">
      <x:c r="A25" t="n">
        <x:v>4</x:v>
      </x:c>
      <x:c r="B25" s="60" t="n">
        <x:f>A25*(A25+1)/2</x:f>
        <x:v>10</x:v>
      </x:c>
      <x:c r="C25" s="60" t="n">
        <x:f>$B$3*B25^2</x:f>
        <x:v>100000</x:v>
      </x:c>
      <x:c r="D25" s="60" t="n">
        <x:f>C25*$B$4</x:f>
        <x:v>85000</x:v>
      </x:c>
    </x:row>
    <x:row r="26">
      <x:c r="A26" t="n">
        <x:v>5</x:v>
      </x:c>
      <x:c r="B26" s="60" t="n">
        <x:f>A26*(A26+1)/2</x:f>
        <x:v>15</x:v>
      </x:c>
      <x:c r="C26" s="60" t="n">
        <x:f>$B$3*B26^2</x:f>
        <x:v>225000</x:v>
      </x:c>
      <x:c r="D26" s="60" t="n">
        <x:f>C26*$B$4</x:f>
        <x:v>191250</x:v>
      </x:c>
    </x:row>
    <x:row r="29" ht="30" customHeight="1">
      <x:c r="A29" s="19" t="str">
        <x:v>Rareté</x:v>
      </x:c>
      <x:c r="B29" s="19" t="str">
        <x:v>MIN source (po)</x:v>
      </x:c>
      <x:c r="C29" s="19" t="str">
        <x:v>MAX source (po)</x:v>
      </x:c>
      <x:c r="D29" s="19" t="str">
        <x:v>Valeur D&amp;D 2024 (po)</x:v>
      </x:c>
      <x:c r="E29" s="19" t="str">
        <x:v>Base de prix</x:v>
      </x:c>
    </x:row>
    <x:row r="30">
      <x:c r="A30" t="str">
        <x:v>Commun</x:v>
      </x:c>
      <x:c r="B30" s="60"/>
      <x:c r="C30" s="60"/>
      <x:c r="D30" s="60" t="n">
        <x:v>100</x:v>
      </x:c>
      <x:c r="E30" t="str">
        <x:v>Source 2014/maison vs référence 2024</x:v>
      </x:c>
    </x:row>
    <x:row r="31">
      <x:c r="A31" t="str">
        <x:v>Peu commun</x:v>
      </x:c>
      <x:c r="B31" s="60" t="n">
        <x:v>100</x:v>
      </x:c>
      <x:c r="C31" s="60" t="n">
        <x:v>500</x:v>
      </x:c>
      <x:c r="D31" s="60" t="n">
        <x:v>400</x:v>
      </x:c>
      <x:c r="E31" t="str">
        <x:v>Source 2014/maison vs référence 2024</x:v>
      </x:c>
    </x:row>
    <x:row r="32">
      <x:c r="A32" t="str">
        <x:v>Rare</x:v>
      </x:c>
      <x:c r="B32" s="60" t="n">
        <x:v>500</x:v>
      </x:c>
      <x:c r="C32" s="60" t="n">
        <x:v>5000</x:v>
      </x:c>
      <x:c r="D32" s="60" t="n">
        <x:v>4000</x:v>
      </x:c>
      <x:c r="E32" t="str">
        <x:v>Source 2014/maison vs référence 2024</x:v>
      </x:c>
    </x:row>
    <x:row r="33">
      <x:c r="A33" t="str">
        <x:v>Très rare</x:v>
      </x:c>
      <x:c r="B33" s="60" t="n">
        <x:v>5000</x:v>
      </x:c>
      <x:c r="C33" s="60" t="n">
        <x:v>50000</x:v>
      </x:c>
      <x:c r="D33" s="60" t="n">
        <x:v>40000</x:v>
      </x:c>
      <x:c r="E33" t="str">
        <x:v>Source 2014/maison vs référence 2024</x:v>
      </x:c>
    </x:row>
    <x:row r="34">
      <x:c r="A34" t="str">
        <x:v>Légendaire</x:v>
      </x:c>
      <x:c r="B34" s="60"/>
      <x:c r="C34" s="60"/>
      <x:c r="D34" s="60" t="n">
        <x:v>200000</x:v>
      </x:c>
      <x:c r="E34" t="str">
        <x:v>Source 2014/maison vs référence 2024</x:v>
      </x:c>
    </x:row>
    <x:row r="35">
      <x:c r="B35" s="60"/>
      <x:c r="C35" s="60"/>
      <x:c r="D35" s="60"/>
    </x:row>
    <x:row r="37">
      <x:c r="A37" s="52" t="str">
        <x:v>INTERPRÉTATION</x:v>
      </x:c>
    </x:row>
    <x:row r="38" ht="24" customHeight="1">
      <x:c r="A38" s="56" t="str">
        <x:v>En forge, les bonus d'altération suivent une progression triangulaire ; chaque propriété reçoit une équivalence maison, à équilibrer pour D&amp;D 5e (ex. : Sournoise +1, Frugale +1). Les limites des bonus restent à définir.</x:v>
      </x:c>
      <x:c r="B38" s="56"/>
      <x:c r="C38" s="56"/>
      <x:c r="D38" s="56"/>
      <x:c r="E38" s="56"/>
      <x:c r="F38" s="56"/>
      <x:c r="G38" s="56"/>
      <x:c r="H38" s="56"/>
    </x:row>
    <x:row r="39" ht="24" customHeight="1">
      <x:c r="A39" s="56"/>
      <x:c r="B39" s="56"/>
      <x:c r="C39" s="56"/>
      <x:c r="D39" s="56"/>
      <x:c r="E39" s="56"/>
      <x:c r="F39" s="56"/>
      <x:c r="G39" s="56"/>
      <x:c r="H39" s="56"/>
    </x:row>
  </x:sheetData>
  <x:mergeCells>
    <x:mergeCell ref="A1:H1"/>
    <x:mergeCell ref="A2:H2"/>
    <x:mergeCell ref="A38:H39"/>
  </x:mergeCells>
  <x:pageMargins left="0.7" right="0.7" top="0.75" bottom="0.75" header="0.3" footer="0.3"/>
</x: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34" hidden="0" customWidth="1"/>
    <x:col min="2" max="2" width="20" hidden="0" customWidth="1"/>
    <x:col min="3" max="3" width="12" hidden="0" customWidth="1"/>
    <x:col min="4" max="4" width="15" hidden="0" customWidth="1"/>
    <x:col min="5" max="5" width="12" hidden="0" customWidth="1"/>
    <x:col min="6" max="6" width="15" hidden="0" customWidth="1"/>
    <x:col min="7" max="7" width="11" hidden="0" customWidth="1"/>
    <x:col min="8" max="8" width="11" hidden="0" customWidth="1"/>
    <x:col min="9" max="9" width="14" hidden="0" customWidth="1"/>
    <x:col min="10" max="10" width="14" hidden="0" customWidth="1"/>
    <x:col min="11" max="11" width="17" hidden="0" customWidth="1"/>
    <x:col min="12" max="12" width="15" hidden="0" customWidth="1"/>
    <x:col min="13" max="13" width="17" hidden="0" customWidth="1"/>
    <x:col min="14" max="14" width="16" hidden="0" customWidth="1"/>
    <x:col min="15" max="15" width="14" hidden="0" customWidth="1"/>
    <x:col min="16" max="16" width="15" hidden="0" customWidth="1"/>
    <x:col min="17" max="17" width="53" hidden="0" customWidth="1"/>
  </x:cols>
  <x:sheetData>
    <x:row r="1" ht="36" customHeight="1">
      <x:c r="A1" s="4" t="str">
        <x:v>CALCULATEUR — coût des améliorations</x:v>
      </x:c>
      <x:c r="B1" s="4"/>
      <x:c r="C1" s="4"/>
      <x:c r="D1" s="4"/>
      <x:c r="E1" s="4"/>
      <x:c r="F1" s="4"/>
      <x:c r="G1" s="4"/>
      <x:c r="H1" s="4"/>
      <x:c r="I1" s="4"/>
      <x:c r="J1" s="4"/>
      <x:c r="K1" s="4"/>
      <x:c r="L1" s="4"/>
      <x:c r="M1" s="4"/>
      <x:c r="N1" s="4"/>
      <x:c r="O1" s="4"/>
      <x:c r="P1" s="4"/>
      <x:c r="Q1" s="4"/>
    </x:row>
    <x:row r="2" ht="27" customHeight="1">
      <x:c r="A2" s="11" t="str">
        <x:v>Modifier les colonnes B à F et L ; G à K et M sont calculées. La colonne N conserve les prix historiques éventuellement contradictoires.</x:v>
      </x:c>
      <x:c r="B2" s="11"/>
      <x:c r="C2" s="11"/>
      <x:c r="D2" s="11"/>
      <x:c r="E2" s="11"/>
      <x:c r="F2" s="11"/>
      <x:c r="G2" s="11"/>
      <x:c r="H2" s="11"/>
      <x:c r="I2" s="11"/>
      <x:c r="J2" s="11"/>
      <x:c r="K2" s="11"/>
      <x:c r="L2" s="11"/>
      <x:c r="M2" s="11"/>
      <x:c r="N2" s="11"/>
      <x:c r="O2" s="11"/>
      <x:c r="P2" s="11"/>
      <x:c r="Q2" s="11"/>
    </x:row>
    <x:row r="6" ht="30" customHeight="1">
      <x:c r="A6" s="19" t="str">
        <x:v>Équipement / opération</x:v>
      </x:c>
      <x:c r="B6" s="19" t="str">
        <x:v>Catégorie</x:v>
      </x:c>
      <x:c r="C6" s="19" t="str">
        <x:v>Bonus ancien</x:v>
      </x:c>
      <x:c r="D6" s="19" t="str">
        <x:v>Équiv. effets ancien</x:v>
      </x:c>
      <x:c r="E6" s="19" t="str">
        <x:v>Bonus cible</x:v>
      </x:c>
      <x:c r="F6" s="19" t="str">
        <x:v>Équiv. effets cible</x:v>
      </x:c>
      <x:c r="G6" s="19" t="str">
        <x:v>Niv. ancien</x:v>
      </x:c>
      <x:c r="H6" s="19" t="str">
        <x:v>Niv. cible</x:v>
      </x:c>
      <x:c r="I6" s="19" t="str">
        <x:v>Prix ancien</x:v>
      </x:c>
      <x:c r="J6" s="19" t="str">
        <x:v>Prix cible</x:v>
      </x:c>
      <x:c r="K6" s="19" t="str">
        <x:v>Différence (po)</x:v>
      </x:c>
      <x:c r="L6" s="19" t="str">
        <x:v>Ajustement %</x:v>
      </x:c>
      <x:c r="M6" s="19" t="str">
        <x:v>Devis calculé (po)</x:v>
      </x:c>
      <x:c r="N6" s="19" t="str">
        <x:v>Prix source (po)</x:v>
      </x:c>
      <x:c r="O6" s="19" t="str">
        <x:v>Écart (po)</x:v>
      </x:c>
      <x:c r="P6" s="19" t="str">
        <x:v>Statut</x:v>
      </x:c>
      <x:c r="Q6" s="19" t="str">
        <x:v>Observation</x:v>
      </x:c>
    </x:row>
    <x:row r="7" ht="27" customHeight="1">
      <x:c r="A7" t="str">
        <x:v>Arme neuve +1</x:v>
      </x:c>
      <x:c r="B7" s="64" t="str">
        <x:v>Arme</x:v>
      </x:c>
      <x:c r="C7" s="64" t="n">
        <x:v>0</x:v>
      </x:c>
      <x:c r="D7" s="64" t="n">
        <x:v>0</x:v>
      </x:c>
      <x:c r="E7" s="64" t="n">
        <x:v>1</x:v>
      </x:c>
      <x:c r="F7" s="64" t="n">
        <x:v>0</x:v>
      </x:c>
      <x:c r="G7" t="n">
        <x:f>IF(B7="","",C7*(C7+1)/2+D7)</x:f>
        <x:v>0</x:v>
      </x:c>
      <x:c r="H7" t="n">
        <x:f>IF(B7="","",E7*(E7+1)/2+F7)</x:f>
        <x:v>1</x:v>
      </x:c>
      <x:c r="I7" s="68" t="n">
        <x:f>IF(B7="","",'02 - Barème'!$B$3*G7^2*IF(B7="Arme",1,IF(B7="Armure/bouclier",'02 - Barème'!$B$4,'02 - Barème'!$B$5)))</x:f>
        <x:v>0</x:v>
      </x:c>
      <x:c r="J7" s="68" t="n">
        <x:f>IF(B7="","",'02 - Barème'!$B$3*H7^2*IF(B7="Arme",1,IF(B7="Armure/bouclier",'02 - Barème'!$B$4,'02 - Barème'!$B$5)))</x:f>
        <x:v>1000</x:v>
      </x:c>
      <x:c r="K7" s="68" t="n">
        <x:f>IF(B7="","",MAX(0,J7-I7))</x:f>
        <x:v>1000</x:v>
      </x:c>
      <x:c r="L7" s="74" t="n">
        <x:v>0</x:v>
      </x:c>
      <x:c r="M7" s="68" t="n">
        <x:f>IF(B7="","",ROUND(K7*(1+L7),0))</x:f>
        <x:v>1000</x:v>
      </x:c>
      <x:c r="N7" s="70" t="n">
        <x:v>0</x:v>
      </x:c>
      <x:c r="O7" s="68" t="str">
        <x:f>IF(OR(B7="",N7=""),"",M7-N7)</x:f>
      </x:c>
      <x:c r="P7" t="str">
        <x:v>Conforme</x:v>
      </x:c>
      <x:c r="Q7" s="76" t="str">
        <x:v>Arme normale → +1</x:v>
      </x:c>
    </x:row>
    <x:row r="8" ht="27" customHeight="1">
      <x:c r="A8" t="str">
        <x:v>Ajouter feu (+1) à arme +1</x:v>
      </x:c>
      <x:c r="B8" s="64" t="str">
        <x:v>Arme</x:v>
      </x:c>
      <x:c r="C8" s="64" t="n">
        <x:v>1</x:v>
      </x:c>
      <x:c r="D8" s="64" t="n">
        <x:v>0</x:v>
      </x:c>
      <x:c r="E8" s="64" t="n">
        <x:v>1</x:v>
      </x:c>
      <x:c r="F8" s="64" t="n">
        <x:v>1</x:v>
      </x:c>
      <x:c r="G8" t="n">
        <x:f>IF(B8="","",C8*(C8+1)/2+D8)</x:f>
        <x:v>1</x:v>
      </x:c>
      <x:c r="H8" t="n">
        <x:f>IF(B8="","",E8*(E8+1)/2+F8)</x:f>
        <x:v>2</x:v>
      </x:c>
      <x:c r="I8" s="68" t="n">
        <x:f>IF(B8="","",'02 - Barème'!$B$3*G8^2*IF(B8="Arme",1,IF(B8="Armure/bouclier",'02 - Barème'!$B$4,'02 - Barème'!$B$5)))</x:f>
        <x:v>1000</x:v>
      </x:c>
      <x:c r="J8" s="68" t="n">
        <x:f>IF(B8="","",'02 - Barème'!$B$3*H8^2*IF(B8="Arme",1,IF(B8="Armure/bouclier",'02 - Barème'!$B$4,'02 - Barème'!$B$5)))</x:f>
        <x:v>4000</x:v>
      </x:c>
      <x:c r="K8" s="68" t="n">
        <x:f>IF(B8="","",MAX(0,J8-I8))</x:f>
        <x:v>3000</x:v>
      </x:c>
      <x:c r="L8" s="74" t="n">
        <x:v>0</x:v>
      </x:c>
      <x:c r="M8" s="68" t="n">
        <x:f>IF(B8="","",ROUND(K8*(1+L8),0))</x:f>
        <x:v>3000</x:v>
      </x:c>
      <x:c r="N8" s="70" t="n">
        <x:v>3000</x:v>
      </x:c>
      <x:c r="O8" s="68" t="n">
        <x:f>IF(OR(B8="",N8=""),"",M8-N8)</x:f>
        <x:v>0</x:v>
      </x:c>
      <x:c r="P8" t="str">
        <x:v>Conforme</x:v>
      </x:c>
      <x:c r="Q8" s="76" t="str">
        <x:v>Propriété feu +1 équivalent</x:v>
      </x:c>
    </x:row>
    <x:row r="9" ht="27" customHeight="1">
      <x:c r="A9" t="str">
        <x:v>Arme +1 → +2</x:v>
      </x:c>
      <x:c r="B9" s="64" t="str">
        <x:v>Arme</x:v>
      </x:c>
      <x:c r="C9" s="64" t="n">
        <x:v>1</x:v>
      </x:c>
      <x:c r="D9" s="64" t="n">
        <x:v>0</x:v>
      </x:c>
      <x:c r="E9" s="64" t="n">
        <x:v>2</x:v>
      </x:c>
      <x:c r="F9" s="64" t="n">
        <x:v>0</x:v>
      </x:c>
      <x:c r="G9" t="n">
        <x:f>IF(B9="","",C9*(C9+1)/2+D9)</x:f>
        <x:v>1</x:v>
      </x:c>
      <x:c r="H9" t="n">
        <x:f>IF(B9="","",E9*(E9+1)/2+F9)</x:f>
        <x:v>3</x:v>
      </x:c>
      <x:c r="I9" s="68" t="n">
        <x:f>IF(B9="","",'02 - Barème'!$B$3*G9^2*IF(B9="Arme",1,IF(B9="Armure/bouclier",'02 - Barème'!$B$4,'02 - Barème'!$B$5)))</x:f>
        <x:v>1000</x:v>
      </x:c>
      <x:c r="J9" s="68" t="n">
        <x:f>IF(B9="","",'02 - Barème'!$B$3*H9^2*IF(B9="Arme",1,IF(B9="Armure/bouclier",'02 - Barème'!$B$4,'02 - Barème'!$B$5)))</x:f>
        <x:v>9000</x:v>
      </x:c>
      <x:c r="K9" s="68" t="n">
        <x:f>IF(B9="","",MAX(0,J9-I9))</x:f>
        <x:v>8000</x:v>
      </x:c>
      <x:c r="L9" s="74" t="n">
        <x:v>0</x:v>
      </x:c>
      <x:c r="M9" s="68" t="n">
        <x:f>IF(B9="","",ROUND(K9*(1+L9),0))</x:f>
        <x:v>8000</x:v>
      </x:c>
      <x:c r="N9" s="70" t="n">
        <x:v>8000</x:v>
      </x:c>
      <x:c r="O9" s="68" t="n">
        <x:f>IF(OR(B9="",N9=""),"",M9-N9)</x:f>
        <x:v>0</x:v>
      </x:c>
      <x:c r="P9" t="str">
        <x:v>Conforme</x:v>
      </x:c>
      <x:c r="Q9" s="76" t="str">
        <x:v>Palier triangulaire</x:v>
      </x:c>
    </x:row>
    <x:row r="10" ht="27" customHeight="1">
      <x:c r="A10" t="str">
        <x:v>Arme +1 de feu → +2 de feu</x:v>
      </x:c>
      <x:c r="B10" s="64" t="str">
        <x:v>Arme</x:v>
      </x:c>
      <x:c r="C10" s="64" t="n">
        <x:v>1</x:v>
      </x:c>
      <x:c r="D10" s="64" t="n">
        <x:v>1</x:v>
      </x:c>
      <x:c r="E10" s="64" t="n">
        <x:v>2</x:v>
      </x:c>
      <x:c r="F10" s="64" t="n">
        <x:v>1</x:v>
      </x:c>
      <x:c r="G10" t="n">
        <x:f>IF(B10="","",C10*(C10+1)/2+D10)</x:f>
        <x:v>2</x:v>
      </x:c>
      <x:c r="H10" t="n">
        <x:f>IF(B10="","",E10*(E10+1)/2+F10)</x:f>
        <x:v>4</x:v>
      </x:c>
      <x:c r="I10" s="68" t="n">
        <x:f>IF(B10="","",'02 - Barème'!$B$3*G10^2*IF(B10="Arme",1,IF(B10="Armure/bouclier",'02 - Barème'!$B$4,'02 - Barème'!$B$5)))</x:f>
        <x:v>4000</x:v>
      </x:c>
      <x:c r="J10" s="68" t="n">
        <x:f>IF(B10="","",'02 - Barème'!$B$3*H10^2*IF(B10="Arme",1,IF(B10="Armure/bouclier",'02 - Barème'!$B$4,'02 - Barème'!$B$5)))</x:f>
        <x:v>16000</x:v>
      </x:c>
      <x:c r="K10" s="68" t="n">
        <x:f>IF(B10="","",MAX(0,J10-I10))</x:f>
        <x:v>12000</x:v>
      </x:c>
      <x:c r="L10" s="74" t="n">
        <x:v>0</x:v>
      </x:c>
      <x:c r="M10" s="68" t="n">
        <x:f>IF(B10="","",ROUND(K10*(1+L10),0))</x:f>
        <x:v>12000</x:v>
      </x:c>
      <x:c r="N10" s="70" t="n">
        <x:v>12000</x:v>
      </x:c>
      <x:c r="O10" s="68" t="n">
        <x:f>IF(OR(B10="",N10=""),"",M10-N10)</x:f>
        <x:v>0</x:v>
      </x:c>
      <x:c r="P10" t="str">
        <x:v>Conforme</x:v>
      </x:c>
      <x:c r="Q10" s="76" t="str">
        <x:v>Même effet conservé</x:v>
      </x:c>
    </x:row>
    <x:row r="11" ht="27" customHeight="1">
      <x:c r="A11" t="str">
        <x:v>Arc +2 sournois (+1) frugale (+1)</x:v>
      </x:c>
      <x:c r="B11" s="64" t="str">
        <x:v>Arme</x:v>
      </x:c>
      <x:c r="C11" s="64" t="n">
        <x:v>0</x:v>
      </x:c>
      <x:c r="D11" s="64" t="n">
        <x:v>0</x:v>
      </x:c>
      <x:c r="E11" s="64" t="n">
        <x:v>2</x:v>
      </x:c>
      <x:c r="F11" s="64" t="n">
        <x:v>2</x:v>
      </x:c>
      <x:c r="G11" t="n">
        <x:f>IF(B11="","",C11*(C11+1)/2+D11)</x:f>
        <x:v>0</x:v>
      </x:c>
      <x:c r="H11" t="n">
        <x:f>IF(B11="","",E11*(E11+1)/2+F11)</x:f>
        <x:v>5</x:v>
      </x:c>
      <x:c r="I11" s="68" t="n">
        <x:f>IF(B11="","",'02 - Barème'!$B$3*G11^2*IF(B11="Arme",1,IF(B11="Armure/bouclier",'02 - Barème'!$B$4,'02 - Barème'!$B$5)))</x:f>
        <x:v>0</x:v>
      </x:c>
      <x:c r="J11" s="68" t="n">
        <x:f>IF(B11="","",'02 - Barème'!$B$3*H11^2*IF(B11="Arme",1,IF(B11="Armure/bouclier",'02 - Barème'!$B$4,'02 - Barème'!$B$5)))</x:f>
        <x:v>25000</x:v>
      </x:c>
      <x:c r="K11" s="68" t="n">
        <x:f>IF(B11="","",MAX(0,J11-I11))</x:f>
        <x:v>25000</x:v>
      </x:c>
      <x:c r="L11" s="74" t="n">
        <x:v>0</x:v>
      </x:c>
      <x:c r="M11" s="68" t="n">
        <x:f>IF(B11="","",ROUND(K11*(1+L11),0))</x:f>
        <x:v>25000</x:v>
      </x:c>
      <x:c r="N11" s="70" t="n">
        <x:v>25000</x:v>
      </x:c>
      <x:c r="O11" s="68" t="n">
        <x:f>IF(OR(B11="",N11=""),"",M11-N11)</x:f>
        <x:v>0</x:v>
      </x:c>
      <x:c r="P11" t="str">
        <x:v>Conforme</x:v>
      </x:c>
      <x:c r="Q11" s="76" t="str">
        <x:v>Sournoise +1 et Frugale +1 dans l'adaptation maison D&amp;D 5e ; source : 25 000 po.</x:v>
      </x:c>
    </x:row>
    <x:row r="12" ht="27" customHeight="1">
      <x:c r="A12" t="str">
        <x:v>Arc +2 avec effet +1 et effet +2</x:v>
      </x:c>
      <x:c r="B12" s="64" t="str">
        <x:v>Arme</x:v>
      </x:c>
      <x:c r="C12" s="64" t="n">
        <x:v>0</x:v>
      </x:c>
      <x:c r="D12" s="64" t="n">
        <x:v>0</x:v>
      </x:c>
      <x:c r="E12" s="64" t="n">
        <x:v>2</x:v>
      </x:c>
      <x:c r="F12" s="64" t="n">
        <x:v>3</x:v>
      </x:c>
      <x:c r="G12" t="n">
        <x:f>IF(B12="","",C12*(C12+1)/2+D12)</x:f>
        <x:v>0</x:v>
      </x:c>
      <x:c r="H12" t="n">
        <x:f>IF(B12="","",E12*(E12+1)/2+F12)</x:f>
        <x:v>6</x:v>
      </x:c>
      <x:c r="I12" s="68" t="n">
        <x:f>IF(B12="","",'02 - Barème'!$B$3*G12^2*IF(B12="Arme",1,IF(B12="Armure/bouclier",'02 - Barème'!$B$4,'02 - Barème'!$B$5)))</x:f>
        <x:v>0</x:v>
      </x:c>
      <x:c r="J12" s="68" t="n">
        <x:f>IF(B12="","",'02 - Barème'!$B$3*H12^2*IF(B12="Arme",1,IF(B12="Armure/bouclier",'02 - Barème'!$B$4,'02 - Barème'!$B$5)))</x:f>
        <x:v>36000</x:v>
      </x:c>
      <x:c r="K12" s="68" t="n">
        <x:f>IF(B12="","",MAX(0,J12-I12))</x:f>
        <x:v>36000</x:v>
      </x:c>
      <x:c r="L12" s="74" t="n">
        <x:v>0</x:v>
      </x:c>
      <x:c r="M12" s="68" t="n">
        <x:f>IF(B12="","",ROUND(K12*(1+L12),0))</x:f>
        <x:v>36000</x:v>
      </x:c>
      <x:c r="N12" s="70"/>
      <x:c r="O12" s="68" t="str">
        <x:f>IF(OR(B12="",N12=""),"",M12-N12)</x:f>
      </x:c>
      <x:c r="P12" t="str">
        <x:v>Simulation</x:v>
      </x:c>
      <x:c r="Q12" s="76" t="str">
        <x:v>Exemple purement théorique d'une autre combinaison (+1 et +2), sans préjuger de l'équivalence Frugale.</x:v>
      </x:c>
    </x:row>
    <x:row r="13" ht="27" customHeight="1">
      <x:c r="A13" t="str">
        <x:v>Armure +2 → +3</x:v>
      </x:c>
      <x:c r="B13" s="64" t="str">
        <x:v>Armure/bouclier</x:v>
      </x:c>
      <x:c r="C13" s="64" t="n">
        <x:v>2</x:v>
      </x:c>
      <x:c r="D13" s="64" t="n">
        <x:v>0</x:v>
      </x:c>
      <x:c r="E13" s="64" t="n">
        <x:v>3</x:v>
      </x:c>
      <x:c r="F13" s="64" t="n">
        <x:v>0</x:v>
      </x:c>
      <x:c r="G13" t="n">
        <x:f>IF(B13="","",C13*(C13+1)/2+D13)</x:f>
        <x:v>3</x:v>
      </x:c>
      <x:c r="H13" t="n">
        <x:f>IF(B13="","",E13*(E13+1)/2+F13)</x:f>
        <x:v>6</x:v>
      </x:c>
      <x:c r="I13" s="68" t="n">
        <x:f>IF(B13="","",'02 - Barème'!$B$3*G13^2*IF(B13="Arme",1,IF(B13="Armure/bouclier",'02 - Barème'!$B$4,'02 - Barème'!$B$5)))</x:f>
        <x:v>7650</x:v>
      </x:c>
      <x:c r="J13" s="68" t="n">
        <x:f>IF(B13="","",'02 - Barème'!$B$3*H13^2*IF(B13="Arme",1,IF(B13="Armure/bouclier",'02 - Barème'!$B$4,'02 - Barème'!$B$5)))</x:f>
        <x:v>30600</x:v>
      </x:c>
      <x:c r="K13" s="68" t="n">
        <x:f>IF(B13="","",MAX(0,J13-I13))</x:f>
        <x:v>22950</x:v>
      </x:c>
      <x:c r="L13" s="74" t="n">
        <x:v>0</x:v>
      </x:c>
      <x:c r="M13" s="68" t="n">
        <x:f>IF(B13="","",ROUND(K13*(1+L13),0))</x:f>
        <x:v>22950</x:v>
      </x:c>
      <x:c r="N13" s="70" t="n">
        <x:v>22950</x:v>
      </x:c>
      <x:c r="O13" s="68" t="n">
        <x:f>IF(OR(B13="",N13=""),"",M13-N13)</x:f>
        <x:v>0</x:v>
      </x:c>
      <x:c r="P13" t="str">
        <x:v>Conforme</x:v>
      </x:c>
      <x:c r="Q13" s="76" t="str">
        <x:v>Égal au coût de base mentionné dans Flo</x:v>
      </x:c>
    </x:row>
    <x:row r="14" ht="27" customHeight="1">
      <x:c r="A14" t="str">
        <x:v>Bouclier +2 → +3</x:v>
      </x:c>
      <x:c r="B14" s="64" t="str">
        <x:v>Armure/bouclier</x:v>
      </x:c>
      <x:c r="C14" s="64" t="n">
        <x:v>2</x:v>
      </x:c>
      <x:c r="D14" s="64" t="n">
        <x:v>0</x:v>
      </x:c>
      <x:c r="E14" s="64" t="n">
        <x:v>3</x:v>
      </x:c>
      <x:c r="F14" s="64" t="n">
        <x:v>0</x:v>
      </x:c>
      <x:c r="G14" t="n">
        <x:f>IF(B14="","",C14*(C14+1)/2+D14)</x:f>
        <x:v>3</x:v>
      </x:c>
      <x:c r="H14" t="n">
        <x:f>IF(B14="","",E14*(E14+1)/2+F14)</x:f>
        <x:v>6</x:v>
      </x:c>
      <x:c r="I14" s="68" t="n">
        <x:f>IF(B14="","",'02 - Barème'!$B$3*G14^2*IF(B14="Arme",1,IF(B14="Armure/bouclier",'02 - Barème'!$B$4,'02 - Barème'!$B$5)))</x:f>
        <x:v>7650</x:v>
      </x:c>
      <x:c r="J14" s="68" t="n">
        <x:f>IF(B14="","",'02 - Barème'!$B$3*H14^2*IF(B14="Arme",1,IF(B14="Armure/bouclier",'02 - Barème'!$B$4,'02 - Barème'!$B$5)))</x:f>
        <x:v>30600</x:v>
      </x:c>
      <x:c r="K14" s="68" t="n">
        <x:f>IF(B14="","",MAX(0,J14-I14))</x:f>
        <x:v>22950</x:v>
      </x:c>
      <x:c r="L14" s="74" t="n">
        <x:v>0</x:v>
      </x:c>
      <x:c r="M14" s="68" t="n">
        <x:f>IF(B14="","",ROUND(K14*(1+L14),0))</x:f>
        <x:v>22950</x:v>
      </x:c>
      <x:c r="N14" s="70" t="n">
        <x:v>22950</x:v>
      </x:c>
      <x:c r="O14" s="68" t="n">
        <x:f>IF(OR(B14="",N14=""),"",M14-N14)</x:f>
        <x:v>0</x:v>
      </x:c>
      <x:c r="P14" t="str">
        <x:v>Conforme</x:v>
      </x:c>
      <x:c r="Q14" s="76" t="str">
        <x:v>Égal au coût de base mentionné dans Flo</x:v>
      </x:c>
    </x:row>
    <x:row r="15" ht="27" customHeight="1">
      <x:c r="A15" t="str">
        <x:v>Bouclier +3 gardesort (+2)</x:v>
      </x:c>
      <x:c r="B15" s="64" t="str">
        <x:v>Armure/bouclier</x:v>
      </x:c>
      <x:c r="C15" s="64" t="n">
        <x:v>0</x:v>
      </x:c>
      <x:c r="D15" s="64" t="n">
        <x:v>0</x:v>
      </x:c>
      <x:c r="E15" s="64" t="n">
        <x:v>3</x:v>
      </x:c>
      <x:c r="F15" s="64" t="n">
        <x:v>2</x:v>
      </x:c>
      <x:c r="G15" t="n">
        <x:f>IF(B15="","",C15*(C15+1)/2+D15)</x:f>
        <x:v>0</x:v>
      </x:c>
      <x:c r="H15" t="n">
        <x:f>IF(B15="","",E15*(E15+1)/2+F15)</x:f>
        <x:v>8</x:v>
      </x:c>
      <x:c r="I15" s="68" t="n">
        <x:f>IF(B15="","",'02 - Barème'!$B$3*G15^2*IF(B15="Arme",1,IF(B15="Armure/bouclier",'02 - Barème'!$B$4,'02 - Barème'!$B$5)))</x:f>
        <x:v>0</x:v>
      </x:c>
      <x:c r="J15" s="68" t="n">
        <x:f>IF(B15="","",'02 - Barème'!$B$3*H15^2*IF(B15="Arme",1,IF(B15="Armure/bouclier",'02 - Barème'!$B$4,'02 - Barème'!$B$5)))</x:f>
        <x:v>54400</x:v>
      </x:c>
      <x:c r="K15" s="68" t="n">
        <x:f>IF(B15="","",MAX(0,J15-I15))</x:f>
        <x:v>54400</x:v>
      </x:c>
      <x:c r="L15" s="74" t="n">
        <x:v>0</x:v>
      </x:c>
      <x:c r="M15" s="68" t="n">
        <x:f>IF(B15="","",ROUND(K15*(1+L15),0))</x:f>
        <x:v>54400</x:v>
      </x:c>
      <x:c r="N15" s="70" t="n">
        <x:v>41500</x:v>
      </x:c>
      <x:c r="O15" s="68" t="n">
        <x:f>IF(OR(B15="",N15=""),"",M15-N15)</x:f>
        <x:v>12900</x:v>
      </x:c>
      <x:c r="P15" t="str">
        <x:v>À arbitrer</x:v>
      </x:c>
      <x:c r="Q15" s="76" t="str">
        <x:v>La source Flo indique 41 500 po ; calcul catalogue pas équivalent à prix de forge</x:v>
      </x:c>
    </x:row>
    <x:row r="16" ht="27" customHeight="1">
      <x:c r="A16" t="str">
        <x:v>Arme +1 → +2 de feu</x:v>
      </x:c>
      <x:c r="B16" s="64" t="str">
        <x:v>Arme</x:v>
      </x:c>
      <x:c r="C16" s="64" t="n">
        <x:v>1</x:v>
      </x:c>
      <x:c r="D16" s="64" t="n">
        <x:v>0</x:v>
      </x:c>
      <x:c r="E16" s="64" t="n">
        <x:v>2</x:v>
      </x:c>
      <x:c r="F16" s="64" t="n">
        <x:v>1</x:v>
      </x:c>
      <x:c r="G16" t="n">
        <x:f>IF(B16="","",C16*(C16+1)/2+D16)</x:f>
        <x:v>1</x:v>
      </x:c>
      <x:c r="H16" t="n">
        <x:f>IF(B16="","",E16*(E16+1)/2+F16)</x:f>
        <x:v>4</x:v>
      </x:c>
      <x:c r="I16" s="68" t="n">
        <x:f>IF(B16="","",'02 - Barème'!$B$3*G16^2*IF(B16="Arme",1,IF(B16="Armure/bouclier",'02 - Barème'!$B$4,'02 - Barème'!$B$5)))</x:f>
        <x:v>1000</x:v>
      </x:c>
      <x:c r="J16" s="68" t="n">
        <x:f>IF(B16="","",'02 - Barème'!$B$3*H16^2*IF(B16="Arme",1,IF(B16="Armure/bouclier",'02 - Barème'!$B$4,'02 - Barème'!$B$5)))</x:f>
        <x:v>16000</x:v>
      </x:c>
      <x:c r="K16" s="68" t="n">
        <x:f>IF(B16="","",MAX(0,J16-I16))</x:f>
        <x:v>15000</x:v>
      </x:c>
      <x:c r="L16" s="74" t="n">
        <x:v>0</x:v>
      </x:c>
      <x:c r="M16" s="68" t="n">
        <x:f>IF(B16="","",ROUND(K16*(1+L16),0))</x:f>
        <x:v>15000</x:v>
      </x:c>
      <x:c r="N16" s="70"/>
      <x:c r="O16" s="68" t="str">
        <x:f>IF(OR(B16="",N16=""),"",M16-N16)</x:f>
      </x:c>
      <x:c r="P16" t="str">
        <x:v>Simulation</x:v>
      </x:c>
      <x:c r="Q16" s="76" t="str">
        <x:v>Altération + effet nouveau</x:v>
      </x:c>
    </x:row>
    <x:row r="17" ht="27" customHeight="1">
      <x:c r="B17" s="64"/>
      <x:c r="C17" s="64"/>
      <x:c r="D17" s="64"/>
      <x:c r="E17" s="64"/>
      <x:c r="F17" s="64"/>
      <x:c r="G17" t="str">
        <x:f>IF(B17="","",C17*(C17+1)/2+D17)</x:f>
      </x:c>
      <x:c r="H17" t="str">
        <x:f>IF(B17="","",E17*(E17+1)/2+F17)</x:f>
      </x:c>
      <x:c r="I17" s="68" t="str">
        <x:f>IF(B17="","",'02 - Barème'!$B$3*G17^2*IF(B17="Arme",1,IF(B17="Armure/bouclier",'02 - Barème'!$B$4,'02 - Barème'!$B$5)))</x:f>
      </x:c>
      <x:c r="J17" s="68" t="str">
        <x:f>IF(B17="","",'02 - Barème'!$B$3*H17^2*IF(B17="Arme",1,IF(B17="Armure/bouclier",'02 - Barème'!$B$4,'02 - Barème'!$B$5)))</x:f>
      </x:c>
      <x:c r="K17" s="68" t="str">
        <x:f>IF(B17="","",MAX(0,J17-I17))</x:f>
      </x:c>
      <x:c r="L17" s="74" t="n">
        <x:v>0</x:v>
      </x:c>
      <x:c r="M17" s="68" t="str">
        <x:f>IF(B17="","",ROUND(K17*(1+L17),0))</x:f>
      </x:c>
      <x:c r="N17" s="70"/>
      <x:c r="O17" s="68" t="str">
        <x:f>IF(OR(B17="",N17=""),"",M17-N17)</x:f>
      </x:c>
      <x:c r="Q17" s="76"/>
    </x:row>
    <x:row r="18" ht="27" customHeight="1">
      <x:c r="B18" s="64"/>
      <x:c r="C18" s="64"/>
      <x:c r="D18" s="64"/>
      <x:c r="E18" s="64"/>
      <x:c r="F18" s="64"/>
      <x:c r="G18" t="str">
        <x:f>IF(B18="","",C18*(C18+1)/2+D18)</x:f>
      </x:c>
      <x:c r="H18" t="str">
        <x:f>IF(B18="","",E18*(E18+1)/2+F18)</x:f>
      </x:c>
      <x:c r="I18" s="68" t="str">
        <x:f>IF(B18="","",'02 - Barème'!$B$3*G18^2*IF(B18="Arme",1,IF(B18="Armure/bouclier",'02 - Barème'!$B$4,'02 - Barème'!$B$5)))</x:f>
      </x:c>
      <x:c r="J18" s="68" t="str">
        <x:f>IF(B18="","",'02 - Barème'!$B$3*H18^2*IF(B18="Arme",1,IF(B18="Armure/bouclier",'02 - Barème'!$B$4,'02 - Barème'!$B$5)))</x:f>
      </x:c>
      <x:c r="K18" s="68" t="str">
        <x:f>IF(B18="","",MAX(0,J18-I18))</x:f>
      </x:c>
      <x:c r="L18" s="74" t="n">
        <x:v>0</x:v>
      </x:c>
      <x:c r="M18" s="68" t="str">
        <x:f>IF(B18="","",ROUND(K18*(1+L18),0))</x:f>
      </x:c>
      <x:c r="N18" s="70"/>
      <x:c r="O18" s="68" t="str">
        <x:f>IF(OR(B18="",N18=""),"",M18-N18)</x:f>
      </x:c>
      <x:c r="Q18" s="76"/>
    </x:row>
    <x:row r="19" ht="27" customHeight="1">
      <x:c r="B19" s="64"/>
      <x:c r="C19" s="64"/>
      <x:c r="D19" s="64"/>
      <x:c r="E19" s="64"/>
      <x:c r="F19" s="64"/>
      <x:c r="G19" t="str">
        <x:f>IF(B19="","",C19*(C19+1)/2+D19)</x:f>
      </x:c>
      <x:c r="H19" t="str">
        <x:f>IF(B19="","",E19*(E19+1)/2+F19)</x:f>
      </x:c>
      <x:c r="I19" s="68" t="str">
        <x:f>IF(B19="","",'02 - Barème'!$B$3*G19^2*IF(B19="Arme",1,IF(B19="Armure/bouclier",'02 - Barème'!$B$4,'02 - Barème'!$B$5)))</x:f>
      </x:c>
      <x:c r="J19" s="68" t="str">
        <x:f>IF(B19="","",'02 - Barème'!$B$3*H19^2*IF(B19="Arme",1,IF(B19="Armure/bouclier",'02 - Barème'!$B$4,'02 - Barème'!$B$5)))</x:f>
      </x:c>
      <x:c r="K19" s="68" t="str">
        <x:f>IF(B19="","",MAX(0,J19-I19))</x:f>
      </x:c>
      <x:c r="L19" s="74" t="n">
        <x:v>0</x:v>
      </x:c>
      <x:c r="M19" s="68" t="str">
        <x:f>IF(B19="","",ROUND(K19*(1+L19),0))</x:f>
      </x:c>
      <x:c r="N19" s="70"/>
      <x:c r="O19" s="68" t="str">
        <x:f>IF(OR(B19="",N19=""),"",M19-N19)</x:f>
      </x:c>
      <x:c r="Q19" s="76"/>
    </x:row>
    <x:row r="20" ht="27" customHeight="1">
      <x:c r="B20" s="64"/>
      <x:c r="C20" s="64"/>
      <x:c r="D20" s="64"/>
      <x:c r="E20" s="64"/>
      <x:c r="F20" s="64"/>
      <x:c r="G20" t="str">
        <x:f>IF(B20="","",C20*(C20+1)/2+D20)</x:f>
      </x:c>
      <x:c r="H20" t="str">
        <x:f>IF(B20="","",E20*(E20+1)/2+F20)</x:f>
      </x:c>
      <x:c r="I20" s="68" t="str">
        <x:f>IF(B20="","",'02 - Barème'!$B$3*G20^2*IF(B20="Arme",1,IF(B20="Armure/bouclier",'02 - Barème'!$B$4,'02 - Barème'!$B$5)))</x:f>
      </x:c>
      <x:c r="J20" s="68" t="str">
        <x:f>IF(B20="","",'02 - Barème'!$B$3*H20^2*IF(B20="Arme",1,IF(B20="Armure/bouclier",'02 - Barème'!$B$4,'02 - Barème'!$B$5)))</x:f>
      </x:c>
      <x:c r="K20" s="68" t="str">
        <x:f>IF(B20="","",MAX(0,J20-I20))</x:f>
      </x:c>
      <x:c r="L20" s="74" t="n">
        <x:v>0</x:v>
      </x:c>
      <x:c r="M20" s="68" t="str">
        <x:f>IF(B20="","",ROUND(K20*(1+L20),0))</x:f>
      </x:c>
      <x:c r="N20" s="70"/>
      <x:c r="O20" s="68" t="str">
        <x:f>IF(OR(B20="",N20=""),"",M20-N20)</x:f>
      </x:c>
      <x:c r="Q20" s="76"/>
    </x:row>
    <x:row r="21" ht="27" customHeight="1">
      <x:c r="B21" s="64"/>
      <x:c r="C21" s="64"/>
      <x:c r="D21" s="64"/>
      <x:c r="E21" s="64"/>
      <x:c r="F21" s="64"/>
      <x:c r="G21" t="str">
        <x:f>IF(B21="","",C21*(C21+1)/2+D21)</x:f>
      </x:c>
      <x:c r="H21" t="str">
        <x:f>IF(B21="","",E21*(E21+1)/2+F21)</x:f>
      </x:c>
      <x:c r="I21" s="68" t="str">
        <x:f>IF(B21="","",'02 - Barème'!$B$3*G21^2*IF(B21="Arme",1,IF(B21="Armure/bouclier",'02 - Barème'!$B$4,'02 - Barème'!$B$5)))</x:f>
      </x:c>
      <x:c r="J21" s="68" t="str">
        <x:f>IF(B21="","",'02 - Barème'!$B$3*H21^2*IF(B21="Arme",1,IF(B21="Armure/bouclier",'02 - Barème'!$B$4,'02 - Barème'!$B$5)))</x:f>
      </x:c>
      <x:c r="K21" s="68" t="str">
        <x:f>IF(B21="","",MAX(0,J21-I21))</x:f>
      </x:c>
      <x:c r="L21" s="74" t="n">
        <x:v>0</x:v>
      </x:c>
      <x:c r="M21" s="68" t="str">
        <x:f>IF(B21="","",ROUND(K21*(1+L21),0))</x:f>
      </x:c>
      <x:c r="N21" s="70"/>
      <x:c r="O21" s="68" t="str">
        <x:f>IF(OR(B21="",N21=""),"",M21-N21)</x:f>
      </x:c>
      <x:c r="Q21" s="76"/>
    </x:row>
    <x:row r="22" ht="27" customHeight="1">
      <x:c r="B22" s="64"/>
      <x:c r="C22" s="64"/>
      <x:c r="D22" s="64"/>
      <x:c r="E22" s="64"/>
      <x:c r="F22" s="64"/>
      <x:c r="G22" t="str">
        <x:f>IF(B22="","",C22*(C22+1)/2+D22)</x:f>
      </x:c>
      <x:c r="H22" t="str">
        <x:f>IF(B22="","",E22*(E22+1)/2+F22)</x:f>
      </x:c>
      <x:c r="I22" s="68" t="str">
        <x:f>IF(B22="","",'02 - Barème'!$B$3*G22^2*IF(B22="Arme",1,IF(B22="Armure/bouclier",'02 - Barème'!$B$4,'02 - Barème'!$B$5)))</x:f>
      </x:c>
      <x:c r="J22" s="68" t="str">
        <x:f>IF(B22="","",'02 - Barème'!$B$3*H22^2*IF(B22="Arme",1,IF(B22="Armure/bouclier",'02 - Barème'!$B$4,'02 - Barème'!$B$5)))</x:f>
      </x:c>
      <x:c r="K22" s="68" t="str">
        <x:f>IF(B22="","",MAX(0,J22-I22))</x:f>
      </x:c>
      <x:c r="L22" s="74" t="n">
        <x:v>0</x:v>
      </x:c>
      <x:c r="M22" s="68" t="str">
        <x:f>IF(B22="","",ROUND(K22*(1+L22),0))</x:f>
      </x:c>
      <x:c r="N22" s="70"/>
      <x:c r="O22" s="68" t="str">
        <x:f>IF(OR(B22="",N22=""),"",M22-N22)</x:f>
      </x:c>
      <x:c r="Q22" s="76"/>
    </x:row>
    <x:row r="23" ht="27" customHeight="1">
      <x:c r="B23" s="64"/>
      <x:c r="C23" s="64"/>
      <x:c r="D23" s="64"/>
      <x:c r="E23" s="64"/>
      <x:c r="F23" s="64"/>
      <x:c r="G23" t="str">
        <x:f>IF(B23="","",C23*(C23+1)/2+D23)</x:f>
      </x:c>
      <x:c r="H23" t="str">
        <x:f>IF(B23="","",E23*(E23+1)/2+F23)</x:f>
      </x:c>
      <x:c r="I23" s="68" t="str">
        <x:f>IF(B23="","",'02 - Barème'!$B$3*G23^2*IF(B23="Arme",1,IF(B23="Armure/bouclier",'02 - Barème'!$B$4,'02 - Barème'!$B$5)))</x:f>
      </x:c>
      <x:c r="J23" s="68" t="str">
        <x:f>IF(B23="","",'02 - Barème'!$B$3*H23^2*IF(B23="Arme",1,IF(B23="Armure/bouclier",'02 - Barème'!$B$4,'02 - Barème'!$B$5)))</x:f>
      </x:c>
      <x:c r="K23" s="68" t="str">
        <x:f>IF(B23="","",MAX(0,J23-I23))</x:f>
      </x:c>
      <x:c r="L23" s="74" t="n">
        <x:v>0</x:v>
      </x:c>
      <x:c r="M23" s="68" t="str">
        <x:f>IF(B23="","",ROUND(K23*(1+L23),0))</x:f>
      </x:c>
      <x:c r="N23" s="70"/>
      <x:c r="O23" s="68" t="str">
        <x:f>IF(OR(B23="",N23=""),"",M23-N23)</x:f>
      </x:c>
      <x:c r="Q23" s="76"/>
    </x:row>
    <x:row r="24" ht="27" customHeight="1">
      <x:c r="B24" s="64"/>
      <x:c r="C24" s="64"/>
      <x:c r="D24" s="64"/>
      <x:c r="E24" s="64"/>
      <x:c r="F24" s="64"/>
      <x:c r="G24" t="str">
        <x:f>IF(B24="","",C24*(C24+1)/2+D24)</x:f>
      </x:c>
      <x:c r="H24" t="str">
        <x:f>IF(B24="","",E24*(E24+1)/2+F24)</x:f>
      </x:c>
      <x:c r="I24" s="68" t="str">
        <x:f>IF(B24="","",'02 - Barème'!$B$3*G24^2*IF(B24="Arme",1,IF(B24="Armure/bouclier",'02 - Barème'!$B$4,'02 - Barème'!$B$5)))</x:f>
      </x:c>
      <x:c r="J24" s="68" t="str">
        <x:f>IF(B24="","",'02 - Barème'!$B$3*H24^2*IF(B24="Arme",1,IF(B24="Armure/bouclier",'02 - Barème'!$B$4,'02 - Barème'!$B$5)))</x:f>
      </x:c>
      <x:c r="K24" s="68" t="str">
        <x:f>IF(B24="","",MAX(0,J24-I24))</x:f>
      </x:c>
      <x:c r="L24" s="74" t="n">
        <x:v>0</x:v>
      </x:c>
      <x:c r="M24" s="68" t="str">
        <x:f>IF(B24="","",ROUND(K24*(1+L24),0))</x:f>
      </x:c>
      <x:c r="N24" s="70"/>
      <x:c r="O24" s="68" t="str">
        <x:f>IF(OR(B24="",N24=""),"",M24-N24)</x:f>
      </x:c>
      <x:c r="Q24" s="76"/>
    </x:row>
    <x:row r="25" ht="27" customHeight="1">
      <x:c r="B25" s="64"/>
      <x:c r="C25" s="64"/>
      <x:c r="D25" s="64"/>
      <x:c r="E25" s="64"/>
      <x:c r="F25" s="64"/>
      <x:c r="G25" t="str">
        <x:f>IF(B25="","",C25*(C25+1)/2+D25)</x:f>
      </x:c>
      <x:c r="H25" t="str">
        <x:f>IF(B25="","",E25*(E25+1)/2+F25)</x:f>
      </x:c>
      <x:c r="I25" s="68" t="str">
        <x:f>IF(B25="","",'02 - Barème'!$B$3*G25^2*IF(B25="Arme",1,IF(B25="Armure/bouclier",'02 - Barème'!$B$4,'02 - Barème'!$B$5)))</x:f>
      </x:c>
      <x:c r="J25" s="68" t="str">
        <x:f>IF(B25="","",'02 - Barème'!$B$3*H25^2*IF(B25="Arme",1,IF(B25="Armure/bouclier",'02 - Barème'!$B$4,'02 - Barème'!$B$5)))</x:f>
      </x:c>
      <x:c r="K25" s="68" t="str">
        <x:f>IF(B25="","",MAX(0,J25-I25))</x:f>
      </x:c>
      <x:c r="L25" s="74" t="n">
        <x:v>0</x:v>
      </x:c>
      <x:c r="M25" s="68" t="str">
        <x:f>IF(B25="","",ROUND(K25*(1+L25),0))</x:f>
      </x:c>
      <x:c r="N25" s="70"/>
      <x:c r="O25" s="68" t="str">
        <x:f>IF(OR(B25="",N25=""),"",M25-N25)</x:f>
      </x:c>
      <x:c r="Q25" s="76"/>
    </x:row>
    <x:row r="26" ht="27" customHeight="1">
      <x:c r="B26" s="64"/>
      <x:c r="C26" s="64"/>
      <x:c r="D26" s="64"/>
      <x:c r="E26" s="64"/>
      <x:c r="F26" s="64"/>
      <x:c r="G26" t="str">
        <x:f>IF(B26="","",C26*(C26+1)/2+D26)</x:f>
      </x:c>
      <x:c r="H26" t="str">
        <x:f>IF(B26="","",E26*(E26+1)/2+F26)</x:f>
      </x:c>
      <x:c r="I26" s="68" t="str">
        <x:f>IF(B26="","",'02 - Barème'!$B$3*G26^2*IF(B26="Arme",1,IF(B26="Armure/bouclier",'02 - Barème'!$B$4,'02 - Barème'!$B$5)))</x:f>
      </x:c>
      <x:c r="J26" s="68" t="str">
        <x:f>IF(B26="","",'02 - Barème'!$B$3*H26^2*IF(B26="Arme",1,IF(B26="Armure/bouclier",'02 - Barème'!$B$4,'02 - Barème'!$B$5)))</x:f>
      </x:c>
      <x:c r="K26" s="68" t="str">
        <x:f>IF(B26="","",MAX(0,J26-I26))</x:f>
      </x:c>
      <x:c r="L26" s="74" t="n">
        <x:v>0</x:v>
      </x:c>
      <x:c r="M26" s="68" t="str">
        <x:f>IF(B26="","",ROUND(K26*(1+L26),0))</x:f>
      </x:c>
      <x:c r="N26" s="70"/>
      <x:c r="O26" s="68" t="str">
        <x:f>IF(OR(B26="",N26=""),"",M26-N26)</x:f>
      </x:c>
      <x:c r="Q26" s="76"/>
    </x:row>
    <x:row r="27" ht="27" customHeight="1">
      <x:c r="B27" s="64"/>
      <x:c r="C27" s="64"/>
      <x:c r="D27" s="64"/>
      <x:c r="E27" s="64"/>
      <x:c r="F27" s="64"/>
      <x:c r="G27" t="str">
        <x:f>IF(B27="","",C27*(C27+1)/2+D27)</x:f>
      </x:c>
      <x:c r="H27" t="str">
        <x:f>IF(B27="","",E27*(E27+1)/2+F27)</x:f>
      </x:c>
      <x:c r="I27" s="68" t="str">
        <x:f>IF(B27="","",'02 - Barème'!$B$3*G27^2*IF(B27="Arme",1,IF(B27="Armure/bouclier",'02 - Barème'!$B$4,'02 - Barème'!$B$5)))</x:f>
      </x:c>
      <x:c r="J27" s="68" t="str">
        <x:f>IF(B27="","",'02 - Barème'!$B$3*H27^2*IF(B27="Arme",1,IF(B27="Armure/bouclier",'02 - Barème'!$B$4,'02 - Barème'!$B$5)))</x:f>
      </x:c>
      <x:c r="K27" s="68" t="str">
        <x:f>IF(B27="","",MAX(0,J27-I27))</x:f>
      </x:c>
      <x:c r="L27" s="74" t="n">
        <x:v>0</x:v>
      </x:c>
      <x:c r="M27" s="68" t="str">
        <x:f>IF(B27="","",ROUND(K27*(1+L27),0))</x:f>
      </x:c>
      <x:c r="N27" s="70"/>
      <x:c r="O27" s="68" t="str">
        <x:f>IF(OR(B27="",N27=""),"",M27-N27)</x:f>
      </x:c>
      <x:c r="Q27" s="76"/>
    </x:row>
    <x:row r="28" ht="27" customHeight="1">
      <x:c r="B28" s="64"/>
      <x:c r="C28" s="64"/>
      <x:c r="D28" s="64"/>
      <x:c r="E28" s="64"/>
      <x:c r="F28" s="64"/>
      <x:c r="G28" t="str">
        <x:f>IF(B28="","",C28*(C28+1)/2+D28)</x:f>
      </x:c>
      <x:c r="H28" t="str">
        <x:f>IF(B28="","",E28*(E28+1)/2+F28)</x:f>
      </x:c>
      <x:c r="I28" s="68" t="str">
        <x:f>IF(B28="","",'02 - Barème'!$B$3*G28^2*IF(B28="Arme",1,IF(B28="Armure/bouclier",'02 - Barème'!$B$4,'02 - Barème'!$B$5)))</x:f>
      </x:c>
      <x:c r="J28" s="68" t="str">
        <x:f>IF(B28="","",'02 - Barème'!$B$3*H28^2*IF(B28="Arme",1,IF(B28="Armure/bouclier",'02 - Barème'!$B$4,'02 - Barème'!$B$5)))</x:f>
      </x:c>
      <x:c r="K28" s="68" t="str">
        <x:f>IF(B28="","",MAX(0,J28-I28))</x:f>
      </x:c>
      <x:c r="L28" s="74" t="n">
        <x:v>0</x:v>
      </x:c>
      <x:c r="M28" s="68" t="str">
        <x:f>IF(B28="","",ROUND(K28*(1+L28),0))</x:f>
      </x:c>
      <x:c r="N28" s="70"/>
      <x:c r="O28" s="68" t="str">
        <x:f>IF(OR(B28="",N28=""),"",M28-N28)</x:f>
      </x:c>
      <x:c r="Q28" s="76"/>
    </x:row>
    <x:row r="29" ht="27" customHeight="1">
      <x:c r="B29" s="64"/>
      <x:c r="C29" s="64"/>
      <x:c r="D29" s="64"/>
      <x:c r="E29" s="64"/>
      <x:c r="F29" s="64"/>
      <x:c r="G29" t="str">
        <x:f>IF(B29="","",C29*(C29+1)/2+D29)</x:f>
      </x:c>
      <x:c r="H29" t="str">
        <x:f>IF(B29="","",E29*(E29+1)/2+F29)</x:f>
      </x:c>
      <x:c r="I29" s="68" t="str">
        <x:f>IF(B29="","",'02 - Barème'!$B$3*G29^2*IF(B29="Arme",1,IF(B29="Armure/bouclier",'02 - Barème'!$B$4,'02 - Barème'!$B$5)))</x:f>
      </x:c>
      <x:c r="J29" s="68" t="str">
        <x:f>IF(B29="","",'02 - Barème'!$B$3*H29^2*IF(B29="Arme",1,IF(B29="Armure/bouclier",'02 - Barème'!$B$4,'02 - Barème'!$B$5)))</x:f>
      </x:c>
      <x:c r="K29" s="68" t="str">
        <x:f>IF(B29="","",MAX(0,J29-I29))</x:f>
      </x:c>
      <x:c r="L29" s="74" t="n">
        <x:v>0</x:v>
      </x:c>
      <x:c r="M29" s="68" t="str">
        <x:f>IF(B29="","",ROUND(K29*(1+L29),0))</x:f>
      </x:c>
      <x:c r="N29" s="70"/>
      <x:c r="O29" s="68" t="str">
        <x:f>IF(OR(B29="",N29=""),"",M29-N29)</x:f>
      </x:c>
      <x:c r="Q29" s="76"/>
    </x:row>
    <x:row r="30" ht="27" customHeight="1">
      <x:c r="B30" s="64"/>
      <x:c r="C30" s="64"/>
      <x:c r="D30" s="64"/>
      <x:c r="E30" s="64"/>
      <x:c r="F30" s="64"/>
      <x:c r="G30" t="str">
        <x:f>IF(B30="","",C30*(C30+1)/2+D30)</x:f>
      </x:c>
      <x:c r="H30" t="str">
        <x:f>IF(B30="","",E30*(E30+1)/2+F30)</x:f>
      </x:c>
      <x:c r="I30" s="68" t="str">
        <x:f>IF(B30="","",'02 - Barème'!$B$3*G30^2*IF(B30="Arme",1,IF(B30="Armure/bouclier",'02 - Barème'!$B$4,'02 - Barème'!$B$5)))</x:f>
      </x:c>
      <x:c r="J30" s="68" t="str">
        <x:f>IF(B30="","",'02 - Barème'!$B$3*H30^2*IF(B30="Arme",1,IF(B30="Armure/bouclier",'02 - Barème'!$B$4,'02 - Barème'!$B$5)))</x:f>
      </x:c>
      <x:c r="K30" s="68" t="str">
        <x:f>IF(B30="","",MAX(0,J30-I30))</x:f>
      </x:c>
      <x:c r="L30" s="74" t="n">
        <x:v>0</x:v>
      </x:c>
      <x:c r="M30" s="68" t="str">
        <x:f>IF(B30="","",ROUND(K30*(1+L30),0))</x:f>
      </x:c>
      <x:c r="N30" s="70"/>
      <x:c r="O30" s="68" t="str">
        <x:f>IF(OR(B30="",N30=""),"",M30-N30)</x:f>
      </x:c>
      <x:c r="Q30" s="76"/>
    </x:row>
    <x:row r="31" ht="27" customHeight="1">
      <x:c r="B31" s="64"/>
      <x:c r="C31" s="64"/>
      <x:c r="D31" s="64"/>
      <x:c r="E31" s="64"/>
      <x:c r="F31" s="64"/>
      <x:c r="G31" t="str">
        <x:f>IF(B31="","",C31*(C31+1)/2+D31)</x:f>
      </x:c>
      <x:c r="H31" t="str">
        <x:f>IF(B31="","",E31*(E31+1)/2+F31)</x:f>
      </x:c>
      <x:c r="I31" s="68" t="str">
        <x:f>IF(B31="","",'02 - Barème'!$B$3*G31^2*IF(B31="Arme",1,IF(B31="Armure/bouclier",'02 - Barème'!$B$4,'02 - Barème'!$B$5)))</x:f>
      </x:c>
      <x:c r="J31" s="68" t="str">
        <x:f>IF(B31="","",'02 - Barème'!$B$3*H31^2*IF(B31="Arme",1,IF(B31="Armure/bouclier",'02 - Barème'!$B$4,'02 - Barème'!$B$5)))</x:f>
      </x:c>
      <x:c r="K31" s="68" t="str">
        <x:f>IF(B31="","",MAX(0,J31-I31))</x:f>
      </x:c>
      <x:c r="L31" s="74" t="n">
        <x:v>0</x:v>
      </x:c>
      <x:c r="M31" s="68" t="str">
        <x:f>IF(B31="","",ROUND(K31*(1+L31),0))</x:f>
      </x:c>
      <x:c r="N31" s="70"/>
      <x:c r="O31" s="68" t="str">
        <x:f>IF(OR(B31="",N31=""),"",M31-N31)</x:f>
      </x:c>
      <x:c r="Q31" s="76"/>
    </x:row>
    <x:row r="32" ht="27" customHeight="1">
      <x:c r="B32" s="64"/>
      <x:c r="C32" s="64"/>
      <x:c r="D32" s="64"/>
      <x:c r="E32" s="64"/>
      <x:c r="F32" s="64"/>
      <x:c r="G32" t="str">
        <x:f>IF(B32="","",C32*(C32+1)/2+D32)</x:f>
      </x:c>
      <x:c r="H32" t="str">
        <x:f>IF(B32="","",E32*(E32+1)/2+F32)</x:f>
      </x:c>
      <x:c r="I32" s="68" t="str">
        <x:f>IF(B32="","",'02 - Barème'!$B$3*G32^2*IF(B32="Arme",1,IF(B32="Armure/bouclier",'02 - Barème'!$B$4,'02 - Barème'!$B$5)))</x:f>
      </x:c>
      <x:c r="J32" s="68" t="str">
        <x:f>IF(B32="","",'02 - Barème'!$B$3*H32^2*IF(B32="Arme",1,IF(B32="Armure/bouclier",'02 - Barème'!$B$4,'02 - Barème'!$B$5)))</x:f>
      </x:c>
      <x:c r="K32" s="68" t="str">
        <x:f>IF(B32="","",MAX(0,J32-I32))</x:f>
      </x:c>
      <x:c r="L32" s="74" t="n">
        <x:v>0</x:v>
      </x:c>
      <x:c r="M32" s="68" t="str">
        <x:f>IF(B32="","",ROUND(K32*(1+L32),0))</x:f>
      </x:c>
      <x:c r="N32" s="70"/>
      <x:c r="O32" s="68" t="str">
        <x:f>IF(OR(B32="",N32=""),"",M32-N32)</x:f>
      </x:c>
      <x:c r="Q32" s="76"/>
    </x:row>
    <x:row r="33" ht="27" customHeight="1">
      <x:c r="B33" s="64"/>
      <x:c r="C33" s="64"/>
      <x:c r="D33" s="64"/>
      <x:c r="E33" s="64"/>
      <x:c r="F33" s="64"/>
      <x:c r="G33" t="str">
        <x:f>IF(B33="","",C33*(C33+1)/2+D33)</x:f>
      </x:c>
      <x:c r="H33" t="str">
        <x:f>IF(B33="","",E33*(E33+1)/2+F33)</x:f>
      </x:c>
      <x:c r="I33" s="68" t="str">
        <x:f>IF(B33="","",'02 - Barème'!$B$3*G33^2*IF(B33="Arme",1,IF(B33="Armure/bouclier",'02 - Barème'!$B$4,'02 - Barème'!$B$5)))</x:f>
      </x:c>
      <x:c r="J33" s="68" t="str">
        <x:f>IF(B33="","",'02 - Barème'!$B$3*H33^2*IF(B33="Arme",1,IF(B33="Armure/bouclier",'02 - Barème'!$B$4,'02 - Barème'!$B$5)))</x:f>
      </x:c>
      <x:c r="K33" s="68" t="str">
        <x:f>IF(B33="","",MAX(0,J33-I33))</x:f>
      </x:c>
      <x:c r="L33" s="74" t="n">
        <x:v>0</x:v>
      </x:c>
      <x:c r="M33" s="68" t="str">
        <x:f>IF(B33="","",ROUND(K33*(1+L33),0))</x:f>
      </x:c>
      <x:c r="N33" s="70"/>
      <x:c r="O33" s="68" t="str">
        <x:f>IF(OR(B33="",N33=""),"",M33-N33)</x:f>
      </x:c>
      <x:c r="Q33" s="76"/>
    </x:row>
    <x:row r="34" ht="27" customHeight="1">
      <x:c r="B34" s="64"/>
      <x:c r="C34" s="64"/>
      <x:c r="D34" s="64"/>
      <x:c r="E34" s="64"/>
      <x:c r="F34" s="64"/>
      <x:c r="G34" t="str">
        <x:f>IF(B34="","",C34*(C34+1)/2+D34)</x:f>
      </x:c>
      <x:c r="H34" t="str">
        <x:f>IF(B34="","",E34*(E34+1)/2+F34)</x:f>
      </x:c>
      <x:c r="I34" s="68" t="str">
        <x:f>IF(B34="","",'02 - Barème'!$B$3*G34^2*IF(B34="Arme",1,IF(B34="Armure/bouclier",'02 - Barème'!$B$4,'02 - Barème'!$B$5)))</x:f>
      </x:c>
      <x:c r="J34" s="68" t="str">
        <x:f>IF(B34="","",'02 - Barème'!$B$3*H34^2*IF(B34="Arme",1,IF(B34="Armure/bouclier",'02 - Barème'!$B$4,'02 - Barème'!$B$5)))</x:f>
      </x:c>
      <x:c r="K34" s="68" t="str">
        <x:f>IF(B34="","",MAX(0,J34-I34))</x:f>
      </x:c>
      <x:c r="L34" s="74" t="n">
        <x:v>0</x:v>
      </x:c>
      <x:c r="M34" s="68" t="str">
        <x:f>IF(B34="","",ROUND(K34*(1+L34),0))</x:f>
      </x:c>
      <x:c r="N34" s="70"/>
      <x:c r="O34" s="68" t="str">
        <x:f>IF(OR(B34="",N34=""),"",M34-N34)</x:f>
      </x:c>
      <x:c r="Q34" s="76"/>
    </x:row>
    <x:row r="35" ht="27" customHeight="1">
      <x:c r="B35" s="64"/>
      <x:c r="C35" s="64"/>
      <x:c r="D35" s="64"/>
      <x:c r="E35" s="64"/>
      <x:c r="F35" s="64"/>
      <x:c r="G35" t="str">
        <x:f>IF(B35="","",C35*(C35+1)/2+D35)</x:f>
      </x:c>
      <x:c r="H35" t="str">
        <x:f>IF(B35="","",E35*(E35+1)/2+F35)</x:f>
      </x:c>
      <x:c r="I35" s="68" t="str">
        <x:f>IF(B35="","",'02 - Barème'!$B$3*G35^2*IF(B35="Arme",1,IF(B35="Armure/bouclier",'02 - Barème'!$B$4,'02 - Barème'!$B$5)))</x:f>
      </x:c>
      <x:c r="J35" s="68" t="str">
        <x:f>IF(B35="","",'02 - Barème'!$B$3*H35^2*IF(B35="Arme",1,IF(B35="Armure/bouclier",'02 - Barème'!$B$4,'02 - Barème'!$B$5)))</x:f>
      </x:c>
      <x:c r="K35" s="68" t="str">
        <x:f>IF(B35="","",MAX(0,J35-I35))</x:f>
      </x:c>
      <x:c r="L35" s="74" t="n">
        <x:v>0</x:v>
      </x:c>
      <x:c r="M35" s="68" t="str">
        <x:f>IF(B35="","",ROUND(K35*(1+L35),0))</x:f>
      </x:c>
      <x:c r="N35" s="70"/>
      <x:c r="O35" s="68" t="str">
        <x:f>IF(OR(B35="",N35=""),"",M35-N35)</x:f>
      </x:c>
      <x:c r="Q35" s="76"/>
    </x:row>
    <x:row r="36" ht="27" customHeight="1">
      <x:c r="B36" s="64"/>
      <x:c r="C36" s="64"/>
      <x:c r="D36" s="64"/>
      <x:c r="E36" s="64"/>
      <x:c r="F36" s="64"/>
      <x:c r="G36" t="str">
        <x:f>IF(B36="","",C36*(C36+1)/2+D36)</x:f>
      </x:c>
      <x:c r="H36" t="str">
        <x:f>IF(B36="","",E36*(E36+1)/2+F36)</x:f>
      </x:c>
      <x:c r="I36" s="68" t="str">
        <x:f>IF(B36="","",'02 - Barème'!$B$3*G36^2*IF(B36="Arme",1,IF(B36="Armure/bouclier",'02 - Barème'!$B$4,'02 - Barème'!$B$5)))</x:f>
      </x:c>
      <x:c r="J36" s="68" t="str">
        <x:f>IF(B36="","",'02 - Barème'!$B$3*H36^2*IF(B36="Arme",1,IF(B36="Armure/bouclier",'02 - Barème'!$B$4,'02 - Barème'!$B$5)))</x:f>
      </x:c>
      <x:c r="K36" s="68" t="str">
        <x:f>IF(B36="","",MAX(0,J36-I36))</x:f>
      </x:c>
      <x:c r="L36" s="74" t="n">
        <x:v>0</x:v>
      </x:c>
      <x:c r="M36" s="68" t="str">
        <x:f>IF(B36="","",ROUND(K36*(1+L36),0))</x:f>
      </x:c>
      <x:c r="N36" s="70"/>
      <x:c r="O36" s="68" t="str">
        <x:f>IF(OR(B36="",N36=""),"",M36-N36)</x:f>
      </x:c>
      <x:c r="Q36" s="76"/>
    </x:row>
  </x:sheetData>
  <x:mergeCells>
    <x:mergeCell ref="A1:Q1"/>
    <x:mergeCell ref="A2:Q2"/>
  </x:mergeCells>
  <x:conditionalFormatting sqref="O7:O36">
    <x:cfRule type="cellIs" dxfId="0" priority="1" operator="greaterThan">
      <x:formula>0</x:formula>
    </x:cfRule>
  </x:conditionalFormatting>
  <x:dataValidations count="2">
    <x:dataValidation type="list" sqref="B7:B36">
      <x:formula1>"Arme,Armure/bouclier,Autre objet"</x:formula1>
    </x:dataValidation>
    <x:dataValidation type="list" sqref="P7:P36">
      <x:formula1>"Simulation,Conforme,Historique,À arbitrer,Confirmé,Refusé"</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48" hidden="0" customWidth="1"/>
    <x:col min="3" max="3" width="19" hidden="0" customWidth="1"/>
    <x:col min="4" max="4" width="12" hidden="0" customWidth="1"/>
    <x:col min="5" max="5" width="21" hidden="0" customWidth="1"/>
    <x:col min="6" max="6" width="27" hidden="0" customWidth="1"/>
    <x:col min="7" max="7" width="22" hidden="0" customWidth="1"/>
    <x:col min="8" max="8" width="19" hidden="0" customWidth="1"/>
    <x:col min="9" max="9" width="26" hidden="0" customWidth="1"/>
    <x:col min="10" max="10" width="38" hidden="0" customWidth="1"/>
    <x:col min="11" max="11" width="63" hidden="0" customWidth="1"/>
    <x:col min="12" max="12" width="23" hidden="0" customWidth="1"/>
  </x:cols>
  <x:sheetData>
    <x:row r="1" ht="36" customHeight="1">
      <x:c r="A1" s="4" t="str">
        <x:v>CATALOGUE — demandes &amp; achats envisagés</x:v>
      </x:c>
      <x:c r="B1" s="4"/>
      <x:c r="C1" s="4"/>
      <x:c r="D1" s="4"/>
      <x:c r="E1" s="4"/>
      <x:c r="F1" s="4"/>
      <x:c r="G1" s="4"/>
      <x:c r="H1" s="4"/>
      <x:c r="I1" s="4"/>
      <x:c r="J1" s="4"/>
      <x:c r="K1" s="4"/>
      <x:c r="L1" s="4"/>
    </x:row>
    <x:row r="2" ht="27" customHeight="1">
      <x:c r="A2" s="11" t="str">
        <x:v>Chaque ligne correspond à une proposition issue du fichier source ; « retenu » n’implique pas « acheté » ou payé.</x:v>
      </x:c>
      <x:c r="B2" s="11"/>
      <x:c r="C2" s="11"/>
      <x:c r="D2" s="11"/>
      <x:c r="E2" s="11"/>
      <x:c r="F2" s="11"/>
      <x:c r="G2" s="11"/>
      <x:c r="H2" s="11"/>
      <x:c r="I2" s="11"/>
      <x:c r="J2" s="11"/>
      <x:c r="K2" s="11"/>
      <x:c r="L2" s="11"/>
    </x:row>
    <x:row r="5" ht="30" customHeight="1">
      <x:c r="A5" s="19" t="str">
        <x:v>Joueur</x:v>
      </x:c>
      <x:c r="B5" s="19" t="str">
        <x:v>Objet / amélioration</x:v>
      </x:c>
      <x:c r="C5" s="19" t="str">
        <x:v>Nature</x:v>
      </x:c>
      <x:c r="D5" s="19" t="str">
        <x:v>Priorité</x:v>
      </x:c>
      <x:c r="E5" s="19" t="str">
        <x:v>Rareté</x:v>
      </x:c>
      <x:c r="F5" s="19" t="str">
        <x:v>Source / édition</x:v>
      </x:c>
      <x:c r="G5" s="19" t="str">
        <x:v>Prix référence (po)</x:v>
      </x:c>
      <x:c r="H5" s="19" t="str">
        <x:v>Devis MJ (po)</x:v>
      </x:c>
      <x:c r="I5" s="19" t="str">
        <x:v>État source</x:v>
      </x:c>
      <x:c r="J5" s="19" t="str">
        <x:v>Lien</x:v>
      </x:c>
      <x:c r="K5" s="19" t="str">
        <x:v>Notes source</x:v>
      </x:c>
      <x:c r="L5" s="19" t="str">
        <x:v>Provenance</x:v>
      </x:c>
    </x:row>
    <x:row r="6" ht="26" customHeight="1">
      <x:c r="A6" t="str">
        <x:v>Thibault</x:v>
      </x:c>
      <x:c r="B6" s="78" t="str">
        <x:v>bourse de l'opossum</x:v>
      </x:c>
      <x:c r="C6" t="str">
        <x:v>Achat</x:v>
      </x:c>
      <x:c r="D6"/>
      <x:c r="E6"/>
      <x:c r="F6" t="str">
        <x:v>gemmaline</x:v>
      </x:c>
      <x:c r="G6" s="60"/>
      <x:c r="H6" s="80"/>
      <x:c r="I6" t="str">
        <x:v>oui</x:v>
      </x:c>
      <x:c r="J6"/>
      <x:c r="K6" s="76" t="str">
        <x:v>Lien ? non?</x:v>
      </x:c>
      <x:c r="L6" t="str">
        <x:v>Thibault!A2:F2</x:v>
      </x:c>
    </x:row>
    <x:row r="7" ht="26" customHeight="1">
      <x:c r="A7" t="str">
        <x:v>Thibault</x:v>
      </x:c>
      <x:c r="B7" s="78" t="str">
        <x:v>cape de l'assassin</x:v>
      </x:c>
      <x:c r="C7" t="str">
        <x:v>Achat</x:v>
      </x:c>
      <x:c r="D7"/>
      <x:c r="E7"/>
      <x:c r="F7" t="str">
        <x:v>gemmaline</x:v>
      </x:c>
      <x:c r="G7" s="60"/>
      <x:c r="H7" s="80"/>
      <x:c r="I7" t="str">
        <x:v>Non précisé</x:v>
      </x:c>
      <x:c r="J7"/>
      <x:c r="K7" s="76" t="str">
        <x:v>Lien ? oui?</x:v>
      </x:c>
      <x:c r="L7" t="str">
        <x:v>Thibault!A3:F3</x:v>
      </x:c>
    </x:row>
    <x:row r="8" ht="26" customHeight="1">
      <x:c r="A8" t="str">
        <x:v>Thibault</x:v>
      </x:c>
      <x:c r="B8" s="78" t="str">
        <x:v>gant de cambrioleur</x:v>
      </x:c>
      <x:c r="C8" t="str">
        <x:v>Achat</x:v>
      </x:c>
      <x:c r="D8"/>
      <x:c r="E8"/>
      <x:c r="F8" t="str">
        <x:v>aidedd</x:v>
      </x:c>
      <x:c r="G8" s="60"/>
      <x:c r="H8" s="80"/>
      <x:c r="I8" t="str">
        <x:v>oui</x:v>
      </x:c>
      <x:c r="J8"/>
      <x:c r="K8" s="76" t="str">
        <x:v>Lien ? non</x:v>
      </x:c>
      <x:c r="L8" t="str">
        <x:v>Thibault!A4:F4</x:v>
      </x:c>
    </x:row>
    <x:row r="9" ht="26" customHeight="1">
      <x:c r="A9" t="str">
        <x:v>Thibault</x:v>
      </x:c>
      <x:c r="B9" s="78" t="str">
        <x:v>clef squelette</x:v>
      </x:c>
      <x:c r="C9" t="str">
        <x:v>Achat</x:v>
      </x:c>
      <x:c r="D9"/>
      <x:c r="E9"/>
      <x:c r="F9" t="str">
        <x:v>gemmaline</x:v>
      </x:c>
      <x:c r="G9" s="60"/>
      <x:c r="H9" s="80"/>
      <x:c r="I9" t="str">
        <x:v>nope</x:v>
      </x:c>
      <x:c r="J9"/>
      <x:c r="K9" s="76" t="str">
        <x:v>Lien ? non?</x:v>
      </x:c>
      <x:c r="L9" t="str">
        <x:v>Thibault!A5:F5</x:v>
      </x:c>
    </x:row>
    <x:row r="10" ht="26" customHeight="1">
      <x:c r="A10" t="str">
        <x:v>Thibault</x:v>
      </x:c>
      <x:c r="B10" s="78" t="str">
        <x:v>gant de dextérité</x:v>
      </x:c>
      <x:c r="C10" t="str">
        <x:v>Achat</x:v>
      </x:c>
      <x:c r="D10"/>
      <x:c r="E10"/>
      <x:c r="F10" t="str">
        <x:v>gemmaline</x:v>
      </x:c>
      <x:c r="G10" s="60"/>
      <x:c r="H10" s="80"/>
      <x:c r="I10" t="str">
        <x:v>non</x:v>
      </x:c>
      <x:c r="J10"/>
      <x:c r="K10" s="76" t="str">
        <x:v>Lien ? oui?</x:v>
      </x:c>
      <x:c r="L10" t="str">
        <x:v>Thibault!A6:F6</x:v>
      </x:c>
    </x:row>
    <x:row r="11" ht="26" customHeight="1">
      <x:c r="A11" t="str">
        <x:v>Thibault</x:v>
      </x:c>
      <x:c r="B11" s="78" t="str">
        <x:v>armure de cuir cloutée +1 d'esquive</x:v>
      </x:c>
      <x:c r="C11" t="str">
        <x:v>Forge</x:v>
      </x:c>
      <x:c r="D11"/>
      <x:c r="E11"/>
      <x:c r="F11" t="str">
        <x:v>gemmaline</x:v>
      </x:c>
      <x:c r="G11" s="60"/>
      <x:c r="H11" s="80"/>
      <x:c r="I11" t="str">
        <x:v>non</x:v>
      </x:c>
      <x:c r="J11"/>
      <x:c r="K11" s="76" t="str">
        <x:v>Lien ? oui?</x:v>
      </x:c>
      <x:c r="L11" t="str">
        <x:v>Thibault!A7:F7</x:v>
      </x:c>
    </x:row>
    <x:row r="12" ht="26" customHeight="1">
      <x:c r="A12" t="str">
        <x:v>Thibault</x:v>
      </x:c>
      <x:c r="B12" s="78" t="str">
        <x:v>Amulette Antidote</x:v>
      </x:c>
      <x:c r="C12" t="str">
        <x:v>Achat</x:v>
      </x:c>
      <x:c r="D12"/>
      <x:c r="E12"/>
      <x:c r="F12" t="str">
        <x:v>aidedd</x:v>
      </x:c>
      <x:c r="G12" s="60"/>
      <x:c r="H12" s="80"/>
      <x:c r="I12" t="str">
        <x:v>Non précisé</x:v>
      </x:c>
      <x:c r="J12"/>
      <x:c r="K12" s="76" t="str">
        <x:v>Lien ? non</x:v>
      </x:c>
      <x:c r="L12" t="str">
        <x:v>Thibault!A8:F8</x:v>
      </x:c>
    </x:row>
    <x:row r="13" ht="26" customHeight="1">
      <x:c r="A13" t="str">
        <x:v>Thibault</x:v>
      </x:c>
      <x:c r="B13" s="78" t="str">
        <x:v>bracelet du meurtrier</x:v>
      </x:c>
      <x:c r="C13" t="str">
        <x:v>Achat</x:v>
      </x:c>
      <x:c r="D13"/>
      <x:c r="E13"/>
      <x:c r="F13" t="str">
        <x:v>gemmaline</x:v>
      </x:c>
      <x:c r="G13" s="60"/>
      <x:c r="H13" s="80"/>
      <x:c r="I13" t="str">
        <x:v>Non précisé</x:v>
      </x:c>
      <x:c r="J13"/>
      <x:c r="K13" s="76" t="str">
        <x:v>Lien ? oui?</x:v>
      </x:c>
      <x:c r="L13" t="str">
        <x:v>Thibault!A9:F9</x:v>
      </x:c>
    </x:row>
    <x:row r="14" ht="26" customHeight="1">
      <x:c r="A14" t="str">
        <x:v>Thibault</x:v>
      </x:c>
      <x:c r="B14" s="78" t="str">
        <x:v>Arc sournois frugal +2</x:v>
      </x:c>
      <x:c r="C14" t="str">
        <x:v>Forge</x:v>
      </x:c>
      <x:c r="D14"/>
      <x:c r="E14"/>
      <x:c r="F14" t="str">
        <x:v>gemmaline</x:v>
      </x:c>
      <x:c r="G14" s="60"/>
      <x:c r="H14" s="80"/>
      <x:c r="I14" t="str">
        <x:v>oui</x:v>
      </x:c>
      <x:c r="J14"/>
      <x:c r="K14" s="76" t="str">
        <x:v>Lien ? oui?</x:v>
      </x:c>
      <x:c r="L14" t="str">
        <x:v>Thibault!A10:F10</x:v>
      </x:c>
    </x:row>
    <x:row r="15" ht="26" customHeight="1">
      <x:c r="A15" t="str">
        <x:v>Thibault</x:v>
      </x:c>
      <x:c r="B15" s="78" t="str">
        <x:v>10 flèches d'argent +1 incassable</x:v>
      </x:c>
      <x:c r="C15" t="str">
        <x:v>Achat</x:v>
      </x:c>
      <x:c r="D15"/>
      <x:c r="E15"/>
      <x:c r="F15" t="str">
        <x:v>custom</x:v>
      </x:c>
      <x:c r="G15" s="60"/>
      <x:c r="H15" s="80"/>
      <x:c r="I15" t="str">
        <x:v>non</x:v>
      </x:c>
      <x:c r="J15"/>
      <x:c r="K15" s="76" t="str">
        <x:v>Lien ? non</x:v>
      </x:c>
      <x:c r="L15" t="str">
        <x:v>Thibault!A11:F11</x:v>
      </x:c>
    </x:row>
    <x:row r="16" ht="26" customHeight="1">
      <x:c r="A16" t="str">
        <x:v>Thibault</x:v>
      </x:c>
      <x:c r="B16" s="78" t="str">
        <x:v>Carquois d'Elhonna</x:v>
      </x:c>
      <x:c r="C16" t="str">
        <x:v>Achat</x:v>
      </x:c>
      <x:c r="D16"/>
      <x:c r="E16"/>
      <x:c r="F16" t="str">
        <x:v>aidedd</x:v>
      </x:c>
      <x:c r="G16" s="60"/>
      <x:c r="H16" s="80"/>
      <x:c r="I16" t="str">
        <x:v>oui</x:v>
      </x:c>
      <x:c r="J16"/>
      <x:c r="K16" s="76" t="str">
        <x:v>Lien ? non</x:v>
      </x:c>
      <x:c r="L16" t="str">
        <x:v>Thibault!A12:F12</x:v>
      </x:c>
    </x:row>
    <x:row r="17" ht="26" customHeight="1">
      <x:c r="A17" t="str">
        <x:v>Thibault</x:v>
      </x:c>
      <x:c r="B17" s="78" t="str">
        <x:v>Colle universelle</x:v>
      </x:c>
      <x:c r="C17" t="str">
        <x:v>Achat</x:v>
      </x:c>
      <x:c r="D17"/>
      <x:c r="E17"/>
      <x:c r="F17"/>
      <x:c r="G17" s="60"/>
      <x:c r="H17" s="80"/>
      <x:c r="I17" t="str">
        <x:v>Non précisé</x:v>
      </x:c>
      <x:c r="J17"/>
      <x:c r="K17" s="76" t="str">
        <x:v>Lien ? non</x:v>
      </x:c>
      <x:c r="L17" t="str">
        <x:v>Thibault!A13:F13</x:v>
      </x:c>
    </x:row>
    <x:row r="18" ht="26" customHeight="1">
      <x:c r="A18" t="str">
        <x:v>Thibault</x:v>
      </x:c>
      <x:c r="B18" s="78" t="str">
        <x:v>menottes dimensionneles</x:v>
      </x:c>
      <x:c r="C18" t="str">
        <x:v>Achat</x:v>
      </x:c>
      <x:c r="D18"/>
      <x:c r="E18"/>
      <x:c r="F18" t="str">
        <x:v>aidedd</x:v>
      </x:c>
      <x:c r="G18" s="60"/>
      <x:c r="H18" s="80"/>
      <x:c r="I18" t="str">
        <x:v>Non précisé</x:v>
      </x:c>
      <x:c r="J18"/>
      <x:c r="K18" s="76" t="str">
        <x:v>Lien ? non</x:v>
      </x:c>
      <x:c r="L18" t="str">
        <x:v>Thibault!A14:F14</x:v>
      </x:c>
    </x:row>
    <x:row r="19" ht="26" customHeight="1">
      <x:c r="A19" t="str">
        <x:v>Thibault</x:v>
      </x:c>
      <x:c r="B19" s="78" t="str">
        <x:v>breast plate +2 de souffle glamour</x:v>
      </x:c>
      <x:c r="C19" t="str">
        <x:v>Forge</x:v>
      </x:c>
      <x:c r="D19"/>
      <x:c r="E19"/>
      <x:c r="F19"/>
      <x:c r="G19" s="60"/>
      <x:c r="H19" s="80"/>
      <x:c r="I19" t="str">
        <x:v>oui</x:v>
      </x:c>
      <x:c r="J19"/>
      <x:c r="K19" s="76" t="str">
        <x:v>Lien ? non</x:v>
      </x:c>
      <x:c r="L19" t="str">
        <x:v>Thibault!A15:F15</x:v>
      </x:c>
    </x:row>
    <x:row r="20" ht="26" customHeight="1">
      <x:c r="A20" t="str">
        <x:v>Thibault</x:v>
      </x:c>
      <x:c r="B20" s="78" t="str">
        <x:v>anneau +1</x:v>
      </x:c>
      <x:c r="C20" t="str">
        <x:v>Forge</x:v>
      </x:c>
      <x:c r="D20"/>
      <x:c r="E20"/>
      <x:c r="F20"/>
      <x:c r="G20" s="60"/>
      <x:c r="H20" s="80"/>
      <x:c r="I20" t="str">
        <x:v>oui</x:v>
      </x:c>
      <x:c r="J20"/>
      <x:c r="K20" s="76" t="str">
        <x:v>Lien ? oui?</x:v>
      </x:c>
      <x:c r="L20" t="str">
        <x:v>Thibault!A16:F16</x:v>
      </x:c>
    </x:row>
    <x:row r="21" ht="26" customHeight="1">
      <x:c r="A21" t="str">
        <x:v>Thibault</x:v>
      </x:c>
      <x:c r="B21" s="78" t="str">
        <x:v>poudre de disparition *5</x:v>
      </x:c>
      <x:c r="C21" t="str">
        <x:v>Achat</x:v>
      </x:c>
      <x:c r="D21"/>
      <x:c r="E21"/>
      <x:c r="F21"/>
      <x:c r="G21" s="60"/>
      <x:c r="H21" s="80"/>
      <x:c r="I21" t="str">
        <x:v>oui</x:v>
      </x:c>
      <x:c r="J21"/>
      <x:c r="K21" s="76" t="str">
        <x:v>Lien ? non</x:v>
      </x:c>
      <x:c r="L21" t="str">
        <x:v>Thibault!A17:F17</x:v>
      </x:c>
    </x:row>
    <x:row r="22" ht="26" customHeight="1">
      <x:c r="A22" t="str">
        <x:v>Thibault</x:v>
      </x:c>
      <x:c r="B22" s="78" t="str">
        <x:v>amulette antidote</x:v>
      </x:c>
      <x:c r="C22" t="str">
        <x:v>Achat</x:v>
      </x:c>
      <x:c r="D22"/>
      <x:c r="E22"/>
      <x:c r="F22"/>
      <x:c r="G22" s="60"/>
      <x:c r="H22" s="80"/>
      <x:c r="I22" t="str">
        <x:v>oui</x:v>
      </x:c>
      <x:c r="J22"/>
      <x:c r="K22" s="76" t="str">
        <x:v>Lien ? non</x:v>
      </x:c>
      <x:c r="L22" t="str">
        <x:v>Thibault!A18:F18</x:v>
      </x:c>
    </x:row>
    <x:row r="23" ht="26" customHeight="1">
      <x:c r="A23" t="str">
        <x:v>Thibault</x:v>
      </x:c>
      <x:c r="B23" s="78" t="str">
        <x:v>cube de force</x:v>
      </x:c>
      <x:c r="C23" t="str">
        <x:v>Achat</x:v>
      </x:c>
      <x:c r="D23"/>
      <x:c r="E23"/>
      <x:c r="F23"/>
      <x:c r="G23" s="60"/>
      <x:c r="H23" s="80"/>
      <x:c r="I23" t="str">
        <x:v>oui</x:v>
      </x:c>
      <x:c r="J23"/>
      <x:c r="K23" s="76" t="str">
        <x:v>Lien ? oui</x:v>
      </x:c>
      <x:c r="L23" t="str">
        <x:v>Thibault!A19:F19</x:v>
      </x:c>
    </x:row>
    <x:row r="24" ht="26" customHeight="1">
      <x:c r="A24" t="str">
        <x:v>Thibault</x:v>
      </x:c>
      <x:c r="B24" s="78" t="str">
        <x:v>bottes elfiques</x:v>
      </x:c>
      <x:c r="C24" t="str">
        <x:v>Achat</x:v>
      </x:c>
      <x:c r="D24"/>
      <x:c r="E24"/>
      <x:c r="F24"/>
      <x:c r="G24" s="60"/>
      <x:c r="H24" s="80"/>
      <x:c r="I24" t="str">
        <x:v>oui</x:v>
      </x:c>
      <x:c r="J24"/>
      <x:c r="K24" s="76" t="str">
        <x:v>Lien ? non</x:v>
      </x:c>
      <x:c r="L24" t="str">
        <x:v>Thibault!A20:F20</x:v>
      </x:c>
    </x:row>
    <x:row r="25" ht="26" customHeight="1">
      <x:c r="A25" t="str">
        <x:v>Thibault</x:v>
      </x:c>
      <x:c r="B25" s="78" t="str">
        <x:v>bouteille fumigene</x:v>
      </x:c>
      <x:c r="C25" t="str">
        <x:v>Achat</x:v>
      </x:c>
      <x:c r="D25"/>
      <x:c r="E25"/>
      <x:c r="F25"/>
      <x:c r="G25" s="60"/>
      <x:c r="H25" s="80"/>
      <x:c r="I25" t="str">
        <x:v>oui</x:v>
      </x:c>
      <x:c r="J25"/>
      <x:c r="K25" s="76" t="str">
        <x:v>Lien ? non</x:v>
      </x:c>
      <x:c r="L25" t="str">
        <x:v>Thibault!A21:F21</x:v>
      </x:c>
    </x:row>
    <x:row r="26" ht="26" customHeight="1">
      <x:c r="A26" t="str">
        <x:v>Thibault</x:v>
      </x:c>
      <x:c r="B26" s="78" t="str">
        <x:v>flèche incassable x20</x:v>
      </x:c>
      <x:c r="C26" t="str">
        <x:v>Achat</x:v>
      </x:c>
      <x:c r="D26"/>
      <x:c r="E26"/>
      <x:c r="F26"/>
      <x:c r="G26" s="60"/>
      <x:c r="H26" s="80"/>
      <x:c r="I26" t="str">
        <x:v>oui</x:v>
      </x:c>
      <x:c r="J26"/>
      <x:c r="K26" s="76" t="str">
        <x:v>Lien ? non</x:v>
      </x:c>
      <x:c r="L26" t="str">
        <x:v>Thibault!A22:F22</x:v>
      </x:c>
    </x:row>
    <x:row r="27" ht="26" customHeight="1">
      <x:c r="A27" t="str">
        <x:v>Thibault</x:v>
      </x:c>
      <x:c r="B27" s="78" t="str">
        <x:v>flèche percutantes x10</x:v>
      </x:c>
      <x:c r="C27" t="str">
        <x:v>Achat</x:v>
      </x:c>
      <x:c r="D27"/>
      <x:c r="E27"/>
      <x:c r="F27"/>
      <x:c r="G27" s="60"/>
      <x:c r="H27" s="80"/>
      <x:c r="I27" t="str">
        <x:v>Non précisé</x:v>
      </x:c>
      <x:c r="J27"/>
      <x:c r="K27" s="76" t="str">
        <x:v>Lien ? non</x:v>
      </x:c>
      <x:c r="L27" t="str">
        <x:v>Thibault!A23:F23</x:v>
      </x:c>
    </x:row>
    <x:row r="28" ht="26" customHeight="1">
      <x:c r="A28" t="str">
        <x:v>Thaïs</x:v>
      </x:c>
      <x:c r="B28" s="78" t="str">
        <x:v>Sac sans fond</x:v>
      </x:c>
      <x:c r="C28" t="str">
        <x:v>Achat</x:v>
      </x:c>
      <x:c r="D28" t="n">
        <x:v>1</x:v>
      </x:c>
      <x:c r="E28" t="str">
        <x:v>peu commun</x:v>
      </x:c>
      <x:c r="F28" t="str">
        <x:v>aidedd</x:v>
      </x:c>
      <x:c r="G28" s="60"/>
      <x:c r="H28" s="80" t="n">
        <x:v>500</x:v>
      </x:c>
      <x:c r="I28" t="str">
        <x:v>Oui</x:v>
      </x:c>
      <x:c r="J28"/>
      <x:c r="K28" s="76" t="str"/>
      <x:c r="L28" t="str">
        <x:v>Thaïs!A52:I52</x:v>
      </x:c>
    </x:row>
    <x:row r="29" ht="26" customHeight="1">
      <x:c r="A29" t="str">
        <x:v>Thaïs</x:v>
      </x:c>
      <x:c r="B29" s="78" t="str">
        <x:v>Illusionist's bracers</x:v>
      </x:c>
      <x:c r="C29" t="str">
        <x:v>Achat</x:v>
      </x:c>
      <x:c r="D29" t="n">
        <x:v>2</x:v>
      </x:c>
      <x:c r="E29" t="str">
        <x:v>Très rare</x:v>
      </x:c>
      <x:c r="F29" t="str">
        <x:v>Guildmasters' Guide to Ravnica</x:v>
      </x:c>
      <x:c r="G29" s="60"/>
      <x:c r="H29" s="80"/>
      <x:c r="I29" t="str">
        <x:v>Oui</x:v>
      </x:c>
      <x:c r="J29"/>
      <x:c r="K29" s="76" t="str">
        <x:v>Mention MJ: Non</x:v>
      </x:c>
      <x:c r="L29" t="str">
        <x:v>Thaïs!A53:I53</x:v>
      </x:c>
    </x:row>
    <x:row r="30" ht="26" customHeight="1">
      <x:c r="A30" t="str">
        <x:v>Thaïs</x:v>
      </x:c>
      <x:c r="B30" s="78" t="str">
        <x:v>Cloak of displacement</x:v>
      </x:c>
      <x:c r="C30" t="str">
        <x:v>Achat</x:v>
      </x:c>
      <x:c r="D30"/>
      <x:c r="E30" t="str">
        <x:v>Rare</x:v>
      </x:c>
      <x:c r="F30" t="str">
        <x:v>aidedd</x:v>
      </x:c>
      <x:c r="G30" s="60"/>
      <x:c r="H30" s="80"/>
      <x:c r="I30" t="str">
        <x:v>Non précisé</x:v>
      </x:c>
      <x:c r="J30"/>
      <x:c r="K30" s="76" t="str"/>
      <x:c r="L30" t="str">
        <x:v>Thaïs!A54:I54</x:v>
      </x:c>
    </x:row>
    <x:row r="31" ht="26" customHeight="1">
      <x:c r="A31" t="str">
        <x:v>Thaïs</x:v>
      </x:c>
      <x:c r="B31" s="78" t="str">
        <x:v>Anneau de stockage de sorts</x:v>
      </x:c>
      <x:c r="C31" t="str">
        <x:v>Achat</x:v>
      </x:c>
      <x:c r="D31" t="n">
        <x:v>3</x:v>
      </x:c>
      <x:c r="E31" t="str">
        <x:v>Rare</x:v>
      </x:c>
      <x:c r="F31" t="str">
        <x:v>dnd beyond</x:v>
      </x:c>
      <x:c r="G31" s="60"/>
      <x:c r="H31" s="80" t="n">
        <x:v>4312</x:v>
      </x:c>
      <x:c r="I31" t="str">
        <x:v>Oui, si pas trouvé bracers</x:v>
      </x:c>
      <x:c r="J31"/>
      <x:c r="K31" s="76" t="str"/>
      <x:c r="L31" t="str">
        <x:v>Thaïs!A55:I55</x:v>
      </x:c>
    </x:row>
    <x:row r="32" ht="26" customHeight="1">
      <x:c r="A32" t="str">
        <x:v>Thaïs</x:v>
      </x:c>
      <x:c r="B32" s="78" t="str">
        <x:v>Upgrade rod of the pact keeper</x:v>
      </x:c>
      <x:c r="C32" t="str">
        <x:v>Forge</x:v>
      </x:c>
      <x:c r="D32" t="n">
        <x:v>4</x:v>
      </x:c>
      <x:c r="E32" t="str">
        <x:v>Peu commun-&gt;très rare</x:v>
      </x:c>
      <x:c r="F32"/>
      <x:c r="G32" s="60"/>
      <x:c r="H32" s="80"/>
      <x:c r="I32" t="str">
        <x:v>Oui</x:v>
      </x:c>
      <x:c r="J32"/>
      <x:c r="K32" s="76" t="str">
        <x:v>Mention MJ: 25-30K (19 000)</x:v>
      </x:c>
      <x:c r="L32" t="str">
        <x:v>Thaïs!A56:I56</x:v>
      </x:c>
    </x:row>
    <x:row r="33" ht="26" customHeight="1">
      <x:c r="A33" t="str">
        <x:v>Thaïs</x:v>
      </x:c>
      <x:c r="B33" s="78" t="str">
        <x:v>Enchanter armure de cuir cloutee +1 -&gt; +2, changepeau</x:v>
      </x:c>
      <x:c r="C33" t="str">
        <x:v>Forge</x:v>
      </x:c>
      <x:c r="D33" t="n">
        <x:v>5</x:v>
      </x:c>
      <x:c r="E33"/>
      <x:c r="F33"/>
      <x:c r="G33" s="60"/>
      <x:c r="H33" s="80"/>
      <x:c r="I33" t="str">
        <x:v>Oui</x:v>
      </x:c>
      <x:c r="J33"/>
      <x:c r="K33" s="76" t="str">
        <x:v>Mention MJ: 15K (+1 chagepeau 5 fois par jour =&gt; 2180 ), 14790 =&gt; passage de +1 a +2 et effet permanent</x:v>
      </x:c>
      <x:c r="L33" t="str">
        <x:v>Thaïs!A57:I57</x:v>
      </x:c>
    </x:row>
    <x:row r="34" ht="26" customHeight="1">
      <x:c r="A34" t="str">
        <x:v>Thaïs</x:v>
      </x:c>
      <x:c r="B34" s="78" t="str">
        <x:v>Bottes de gravité</x:v>
      </x:c>
      <x:c r="C34" t="str">
        <x:v>Achat</x:v>
      </x:c>
      <x:c r="D34" t="n">
        <x:v>6</x:v>
      </x:c>
      <x:c r="E34" t="str">
        <x:v>? </x:v>
      </x:c>
      <x:c r="F34" t="str">
        <x:v>Gemmaline</x:v>
      </x:c>
      <x:c r="G34" s="60" t="n">
        <x:v>50400</x:v>
      </x:c>
      <x:c r="H34" s="80"/>
      <x:c r="I34" t="str">
        <x:v>Oui</x:v>
      </x:c>
      <x:c r="J34"/>
      <x:c r="K34" s="76" t="str">
        <x:v>Lien source: ?</x:v>
      </x:c>
      <x:c r="L34" t="str">
        <x:v>Thaïs!A58:I58</x:v>
      </x:c>
    </x:row>
    <x:row r="35" ht="26" customHeight="1">
      <x:c r="A35" t="str">
        <x:v>Thaïs</x:v>
      </x:c>
      <x:c r="B35" s="78" t="str">
        <x:v>Anneau du mage de combat</x:v>
      </x:c>
      <x:c r="C35" t="str">
        <x:v>Achat</x:v>
      </x:c>
      <x:c r="D35" t="n">
        <x:v>7</x:v>
      </x:c>
      <x:c r="E35" t="str">
        <x:v>? </x:v>
      </x:c>
      <x:c r="F35" t="str">
        <x:v>Gemmaline</x:v>
      </x:c>
      <x:c r="G35" s="60" t="n">
        <x:v>12000</x:v>
      </x:c>
      <x:c r="H35" s="80"/>
      <x:c r="I35" t="str">
        <x:v>Oui</x:v>
      </x:c>
      <x:c r="J35"/>
      <x:c r="K35" s="76" t="str">
        <x:v>Lien source: ?</x:v>
      </x:c>
      <x:c r="L35" t="str">
        <x:v>Thaïs!A59:I59</x:v>
      </x:c>
    </x:row>
    <x:row r="36" ht="26" customHeight="1">
      <x:c r="A36" t="str">
        <x:v>Thaïs</x:v>
      </x:c>
      <x:c r="B36" s="78" t="str">
        <x:v>Cloak of arachnida</x:v>
      </x:c>
      <x:c r="C36" t="str">
        <x:v>Achat</x:v>
      </x:c>
      <x:c r="D36" t="n">
        <x:v>8</x:v>
      </x:c>
      <x:c r="E36" t="str">
        <x:v>Très rare</x:v>
      </x:c>
      <x:c r="F36" t="str">
        <x:v>Aidedd</x:v>
      </x:c>
      <x:c r="G36" s="60"/>
      <x:c r="H36" s="80"/>
      <x:c r="I36" t="str">
        <x:v>Oui, si lien possible</x:v>
      </x:c>
      <x:c r="J36"/>
      <x:c r="K36" s="76" t="str"/>
      <x:c r="L36" t="str">
        <x:v>Thaïs!A60:I60</x:v>
      </x:c>
    </x:row>
    <x:row r="37" ht="26" customHeight="1">
      <x:c r="A37" t="str">
        <x:v>Thaïs</x:v>
      </x:c>
      <x:c r="B37" s="78" t="str">
        <x:v>Cloak of Many Fashions</x:v>
      </x:c>
      <x:c r="C37" t="str">
        <x:v>Achat</x:v>
      </x:c>
      <x:c r="D37"/>
      <x:c r="E37" t="str">
        <x:v>Commun</x:v>
      </x:c>
      <x:c r="F37" t="str">
        <x:v>Xanathar</x:v>
      </x:c>
      <x:c r="G37" s="60"/>
      <x:c r="H37" s="80"/>
      <x:c r="I37" t="str">
        <x:v>Oui, si pas autre cape</x:v>
      </x:c>
      <x:c r="J37"/>
      <x:c r="K37" s="76" t="str"/>
      <x:c r="L37" t="str">
        <x:v>Thaïs!A61:I61</x:v>
      </x:c>
    </x:row>
    <x:row r="38" ht="26" customHeight="1">
      <x:c r="A38" t="str">
        <x:v>Thaïs</x:v>
      </x:c>
      <x:c r="B38" s="78" t="str">
        <x:v>Tankard of sobriety</x:v>
      </x:c>
      <x:c r="C38" t="str">
        <x:v>Achat</x:v>
      </x:c>
      <x:c r="D38"/>
      <x:c r="E38" t="str">
        <x:v>Commun</x:v>
      </x:c>
      <x:c r="F38" t="str">
        <x:v>Xanathar </x:v>
      </x:c>
      <x:c r="G38" s="60"/>
      <x:c r="H38" s="80"/>
      <x:c r="I38" t="str">
        <x:v>Oui</x:v>
      </x:c>
      <x:c r="J38"/>
      <x:c r="K38" s="76" t="str"/>
      <x:c r="L38" t="str">
        <x:v>Thaïs!A62:I62</x:v>
      </x:c>
    </x:row>
    <x:row r="39" ht="26" customHeight="1">
      <x:c r="A39" t="str">
        <x:v>Thaïs</x:v>
      </x:c>
      <x:c r="B39" s="78" t="str">
        <x:v>Cleansing stone</x:v>
      </x:c>
      <x:c r="C39" t="str">
        <x:v>Achat</x:v>
      </x:c>
      <x:c r="D39"/>
      <x:c r="E39" t="str">
        <x:v>Commun</x:v>
      </x:c>
      <x:c r="F39" t="str">
        <x:v>Aidedd</x:v>
      </x:c>
      <x:c r="G39" s="60"/>
      <x:c r="H39" s="80"/>
      <x:c r="I39" t="str">
        <x:v>Oui</x:v>
      </x:c>
      <x:c r="J39" t="str">
        <x:v>https://www.aidedd.org/en/intro/unearthed-arcana/magic-items-of-eberron/</x:v>
      </x:c>
      <x:c r="K39" s="76" t="str"/>
      <x:c r="L39" t="str">
        <x:v>Thaïs!A63:I63</x:v>
      </x:c>
    </x:row>
    <x:row r="40" ht="26" customHeight="1">
      <x:c r="A40" t="str">
        <x:v>Thaïs</x:v>
      </x:c>
      <x:c r="B40" s="78" t="str">
        <x:v>Feather token</x:v>
      </x:c>
      <x:c r="C40" t="str">
        <x:v>Achat</x:v>
      </x:c>
      <x:c r="D40"/>
      <x:c r="E40" t="str">
        <x:v>Commun</x:v>
      </x:c>
      <x:c r="F40" t="str">
        <x:v>Aidedd</x:v>
      </x:c>
      <x:c r="G40" s="60"/>
      <x:c r="H40" s="80"/>
      <x:c r="I40" t="str">
        <x:v>Oui</x:v>
      </x:c>
      <x:c r="J40" t="str">
        <x:v>https://www.aidedd.org/en/intro/unearthed-arcana/magic-items-of-eberron/</x:v>
      </x:c>
      <x:c r="K40" s="76" t="str"/>
      <x:c r="L40" t="str">
        <x:v>Thaïs!A64:I64</x:v>
      </x:c>
    </x:row>
    <x:row r="41" ht="26" customHeight="1">
      <x:c r="A41" t="str">
        <x:v>Thaïs</x:v>
      </x:c>
      <x:c r="B41" s="78" t="str">
        <x:v>Spellshard</x:v>
      </x:c>
      <x:c r="C41" t="str">
        <x:v>Achat</x:v>
      </x:c>
      <x:c r="D41"/>
      <x:c r="E41" t="str">
        <x:v>Commun</x:v>
      </x:c>
      <x:c r="F41" t="str">
        <x:v>Aidedd</x:v>
      </x:c>
      <x:c r="G41" s="60"/>
      <x:c r="H41" s="80"/>
      <x:c r="I41" t="str">
        <x:v>Oui</x:v>
      </x:c>
      <x:c r="J41" t="str">
        <x:v>https://www.aidedd.org/en/intro/unearthed-arcana/magic-items-of-eberron/</x:v>
      </x:c>
      <x:c r="K41" s="76" t="str"/>
      <x:c r="L41" t="str">
        <x:v>Thaïs!A65:I65</x:v>
      </x:c>
    </x:row>
    <x:row r="42" ht="26" customHeight="1">
      <x:c r="A42" t="str">
        <x:v>Thaïs</x:v>
      </x:c>
      <x:c r="B42" s="78" t="str">
        <x:v>Tome of Leadership and Influence</x:v>
      </x:c>
      <x:c r="C42" t="str">
        <x:v>Achat</x:v>
      </x:c>
      <x:c r="D42"/>
      <x:c r="E42" t="str">
        <x:v>Très rare</x:v>
      </x:c>
      <x:c r="F42" t="str">
        <x:v>Aidedd</x:v>
      </x:c>
      <x:c r="G42" s="60"/>
      <x:c r="H42" s="80"/>
      <x:c r="I42" t="str">
        <x:v>Non précisé</x:v>
      </x:c>
      <x:c r="J42"/>
      <x:c r="K42" s="76" t="str">
        <x:v>Mention MJ: PAS POUR LE MOMENT</x:v>
      </x:c>
      <x:c r="L42" t="str">
        <x:v>Thaïs!A66:I66</x:v>
      </x:c>
    </x:row>
    <x:row r="43" ht="26" customHeight="1">
      <x:c r="A43" t="str">
        <x:v>Thaïs</x:v>
      </x:c>
      <x:c r="B43" s="78" t="str">
        <x:v>Enchanter armure -&gt; clignotement</x:v>
      </x:c>
      <x:c r="C43" t="str">
        <x:v>Forge</x:v>
      </x:c>
      <x:c r="D43"/>
      <x:c r="E43" t="str">
        <x:v>? </x:v>
      </x:c>
      <x:c r="F43" t="str">
        <x:v>Gemmaline</x:v>
      </x:c>
      <x:c r="G43" s="60"/>
      <x:c r="H43" s="80"/>
      <x:c r="I43" t="str">
        <x:v>Non précisé</x:v>
      </x:c>
      <x:c r="J43"/>
      <x:c r="K43" s="76" t="str">
        <x:v>Prix Gemmaline brut: plus 15 000</x:v>
      </x:c>
      <x:c r="L43" t="str">
        <x:v>Thaïs!A67:I67</x:v>
      </x:c>
    </x:row>
    <x:row r="44" ht="26" customHeight="1">
      <x:c r="A44" t="str">
        <x:v>Thaïs</x:v>
      </x:c>
      <x:c r="B44" s="78" t="str">
        <x:v>Cape of the Mountebank</x:v>
      </x:c>
      <x:c r="C44" t="str">
        <x:v>Achat</x:v>
      </x:c>
      <x:c r="D44"/>
      <x:c r="E44" t="str">
        <x:v>Rare</x:v>
      </x:c>
      <x:c r="F44" t="str">
        <x:v>Livre dm</x:v>
      </x:c>
      <x:c r="G44" s="60"/>
      <x:c r="H44" s="80"/>
      <x:c r="I44" t="str">
        <x:v>Non précisé</x:v>
      </x:c>
      <x:c r="J44"/>
      <x:c r="K44" s="76" t="str">
        <x:v>Mention MJ: 5K max</x:v>
      </x:c>
      <x:c r="L44" t="str">
        <x:v>Thaïs!A68:I68</x:v>
      </x:c>
    </x:row>
    <x:row r="45" ht="26" customHeight="1">
      <x:c r="A45" t="str">
        <x:v>Thaïs</x:v>
      </x:c>
      <x:c r="B45" s="78" t="str">
        <x:v>Manual of bodily health</x:v>
      </x:c>
      <x:c r="C45" t="str">
        <x:v>Achat</x:v>
      </x:c>
      <x:c r="D45"/>
      <x:c r="E45" t="str">
        <x:v>Très rare</x:v>
      </x:c>
      <x:c r="F45"/>
      <x:c r="G45" s="60"/>
      <x:c r="H45" s="80"/>
      <x:c r="I45" t="str">
        <x:v>Non précisé</x:v>
      </x:c>
      <x:c r="J45"/>
      <x:c r="K45" s="76" t="str">
        <x:v>Mention MJ: PAS POUR LE MOMENT</x:v>
      </x:c>
      <x:c r="L45" t="str">
        <x:v>Thaïs!A69:I69</x:v>
      </x:c>
    </x:row>
    <x:row r="46" ht="26" customHeight="1">
      <x:c r="A46" t="str">
        <x:v>Thaïs</x:v>
      </x:c>
      <x:c r="B46" s="78" t="str">
        <x:v>Chaussons de l'araignée</x:v>
      </x:c>
      <x:c r="C46" t="str">
        <x:v>Achat</x:v>
      </x:c>
      <x:c r="D46"/>
      <x:c r="E46" t="str">
        <x:v>Peu commun </x:v>
      </x:c>
      <x:c r="F46"/>
      <x:c r="G46" s="60"/>
      <x:c r="H46" s="80"/>
      <x:c r="I46" t="str">
        <x:v>Non précisé</x:v>
      </x:c>
      <x:c r="J46"/>
      <x:c r="K46" s="76" t="str"/>
      <x:c r="L46" t="str">
        <x:v>Thaïs!A70:I70</x:v>
      </x:c>
    </x:row>
    <x:row r="47" ht="26" customHeight="1">
      <x:c r="A47" t="str">
        <x:v>Thaïs</x:v>
      </x:c>
      <x:c r="B47" s="78" t="str">
        <x:v>Bottes de pas latéral</x:v>
      </x:c>
      <x:c r="C47" t="str">
        <x:v>Achat</x:v>
      </x:c>
      <x:c r="D47"/>
      <x:c r="E47" t="str">
        <x:v>? </x:v>
      </x:c>
      <x:c r="F47" t="str">
        <x:v>Gemmaline</x:v>
      </x:c>
      <x:c r="G47" s="60" t="n">
        <x:v>3000</x:v>
      </x:c>
      <x:c r="H47" s="80"/>
      <x:c r="I47" t="str">
        <x:v>Non précisé</x:v>
      </x:c>
      <x:c r="J47"/>
      <x:c r="K47" s="76" t="str">
        <x:v>Lien source: ?</x:v>
      </x:c>
      <x:c r="L47" t="str">
        <x:v>Thaïs!A71:I71</x:v>
      </x:c>
    </x:row>
    <x:row r="48" ht="26" customHeight="1">
      <x:c r="A48" t="str">
        <x:v>Thaïs</x:v>
      </x:c>
      <x:c r="B48" s="78" t="str">
        <x:v>Gants d'incantation mortelle</x:v>
      </x:c>
      <x:c r="C48" t="str">
        <x:v>Achat</x:v>
      </x:c>
      <x:c r="D48"/>
      <x:c r="E48" t="str">
        <x:v>? </x:v>
      </x:c>
      <x:c r="F48" t="str">
        <x:v>Gemmaline</x:v>
      </x:c>
      <x:c r="G48" s="60" t="n">
        <x:v>14000</x:v>
      </x:c>
      <x:c r="H48" s="80"/>
      <x:c r="I48" t="str">
        <x:v>Non précisé</x:v>
      </x:c>
      <x:c r="J48"/>
      <x:c r="K48" s="76" t="str">
        <x:v>Mention MJ: NON | Lien source: ?</x:v>
      </x:c>
      <x:c r="L48" t="str">
        <x:v>Thaïs!A72:I72</x:v>
      </x:c>
    </x:row>
    <x:row r="49" ht="26" customHeight="1">
      <x:c r="A49" t="str">
        <x:v>Thaïs</x:v>
      </x:c>
      <x:c r="B49" s="78" t="str">
        <x:v>Enchanter armure -&gt; changepeau</x:v>
      </x:c>
      <x:c r="C49" t="str">
        <x:v>Forge</x:v>
      </x:c>
      <x:c r="D49"/>
      <x:c r="E49"/>
      <x:c r="F49" t="str">
        <x:v>Gemmaline</x:v>
      </x:c>
      <x:c r="G49" s="60"/>
      <x:c r="H49" s="80"/>
      <x:c r="I49" t="str">
        <x:v>Non précisé</x:v>
      </x:c>
      <x:c r="J49"/>
      <x:c r="K49" s="76" t="str">
        <x:v>Mention MJ: A priori, oui | Prix Gemmaline brut: 13 160 pour +1 | Lien source: ?</x:v>
      </x:c>
      <x:c r="L49" t="str">
        <x:v>Thaïs!A73:I73</x:v>
      </x:c>
    </x:row>
    <x:row r="50" ht="26" customHeight="1">
      <x:c r="A50" t="str">
        <x:v>Thaïs</x:v>
      </x:c>
      <x:c r="B50" s="78" t="str">
        <x:v>Robe de couleurs étincelantes</x:v>
      </x:c>
      <x:c r="C50" t="str">
        <x:v>Achat</x:v>
      </x:c>
      <x:c r="D50"/>
      <x:c r="E50" t="str">
        <x:v>Très rare</x:v>
      </x:c>
      <x:c r="F50" t="str">
        <x:v>Aidedd</x:v>
      </x:c>
      <x:c r="G50" s="60"/>
      <x:c r="H50" s="80"/>
      <x:c r="I50" t="str">
        <x:v>Non précisé</x:v>
      </x:c>
      <x:c r="J50"/>
      <x:c r="K50" s="76" t="str"/>
      <x:c r="L50" t="str">
        <x:v>Thaïs!A74:I74</x:v>
      </x:c>
    </x:row>
    <x:row r="51" ht="26" customHeight="1">
      <x:c r="A51" t="str">
        <x:v>Thaïs</x:v>
      </x:c>
      <x:c r="B51" s="78" t="str">
        <x:v>Anneaux de transport</x:v>
      </x:c>
      <x:c r="C51" t="str">
        <x:v>Achat</x:v>
      </x:c>
      <x:c r="D51"/>
      <x:c r="E51"/>
      <x:c r="F51" t="str">
        <x:v>Gemmaline</x:v>
      </x:c>
      <x:c r="G51" s="60"/>
      <x:c r="H51" s="80"/>
      <x:c r="I51" t="str">
        <x:v>Non précisé</x:v>
      </x:c>
      <x:c r="J51"/>
      <x:c r="K51" s="76" t="str"/>
      <x:c r="L51" t="str">
        <x:v>Thaïs!A75:I75</x:v>
      </x:c>
    </x:row>
    <x:row r="52" ht="26" customHeight="1">
      <x:c r="A52" t="str">
        <x:v>Thaïs</x:v>
      </x:c>
      <x:c r="B52" s="78" t="str">
        <x:v>Cape de l'assassin</x:v>
      </x:c>
      <x:c r="C52" t="str">
        <x:v>Achat</x:v>
      </x:c>
      <x:c r="D52"/>
      <x:c r="E52"/>
      <x:c r="F52" t="str">
        <x:v>Gemmaline</x:v>
      </x:c>
      <x:c r="G52" s="60" t="n">
        <x:v>10000</x:v>
      </x:c>
      <x:c r="H52" s="80"/>
      <x:c r="I52" t="str">
        <x:v>Non précisé</x:v>
      </x:c>
      <x:c r="J52"/>
      <x:c r="K52" s="76" t="str">
        <x:v>Mention MJ: WHY NOT, FAUT VOIR</x:v>
      </x:c>
      <x:c r="L52" t="str">
        <x:v>Thaïs!A76:I76</x:v>
      </x:c>
    </x:row>
    <x:row r="53" ht="26" customHeight="1">
      <x:c r="A53" t="str">
        <x:v>Thaïs</x:v>
      </x:c>
      <x:c r="B53" s="78" t="str">
        <x:v>Armure +2 changepeau</x:v>
      </x:c>
      <x:c r="C53" t="str">
        <x:v>Forge</x:v>
      </x:c>
      <x:c r="D53"/>
      <x:c r="E53"/>
      <x:c r="F53"/>
      <x:c r="G53" s="60"/>
      <x:c r="H53" s="80" t="n">
        <x:v>16000</x:v>
      </x:c>
      <x:c r="I53" t="str">
        <x:v>Non précisé</x:v>
      </x:c>
      <x:c r="J53"/>
      <x:c r="K53" s="76" t="str"/>
      <x:c r="L53" t="str">
        <x:v>Thaïs!A77:I77</x:v>
      </x:c>
    </x:row>
    <x:row r="54" ht="26" customHeight="1">
      <x:c r="A54" t="str">
        <x:v>Thaïs</x:v>
      </x:c>
      <x:c r="B54" s="78" t="str">
        <x:v>spell gem - comprehension des langues</x:v>
      </x:c>
      <x:c r="C54" t="str">
        <x:v>Achat</x:v>
      </x:c>
      <x:c r="D54"/>
      <x:c r="E54" t="str">
        <x:v>peu commun</x:v>
      </x:c>
      <x:c r="F54"/>
      <x:c r="G54" s="60"/>
      <x:c r="H54" s="80"/>
      <x:c r="I54" t="str">
        <x:v>Liste complémentaire</x:v>
      </x:c>
      <x:c r="J54"/>
      <x:c r="K54" s="76" t="str"/>
      <x:c r="L54" t="str">
        <x:v>Thaïs!A102:I102</x:v>
      </x:c>
    </x:row>
    <x:row r="55" ht="26" customHeight="1">
      <x:c r="A55" t="str">
        <x:v>Thaïs</x:v>
      </x:c>
      <x:c r="B55" s="78" t="str">
        <x:v>spell gem - silence</x:v>
      </x:c>
      <x:c r="C55" t="str">
        <x:v>Achat</x:v>
      </x:c>
      <x:c r="D55"/>
      <x:c r="E55" t="str">
        <x:v>rare</x:v>
      </x:c>
      <x:c r="F55"/>
      <x:c r="G55" s="60"/>
      <x:c r="H55" s="80"/>
      <x:c r="I55" t="str">
        <x:v>Liste complémentaire</x:v>
      </x:c>
      <x:c r="J55"/>
      <x:c r="K55" s="76" t="str"/>
      <x:c r="L55" t="str">
        <x:v>Thaïs!A103:I103</x:v>
      </x:c>
    </x:row>
    <x:row r="56" ht="26" customHeight="1">
      <x:c r="A56" t="str">
        <x:v>Thaïs</x:v>
      </x:c>
      <x:c r="B56" s="78" t="str">
        <x:v>upgrade rod of the pact keeper +3</x:v>
      </x:c>
      <x:c r="C56" t="str">
        <x:v>Forge</x:v>
      </x:c>
      <x:c r="D56"/>
      <x:c r="E56"/>
      <x:c r="F56"/>
      <x:c r="G56" s="60"/>
      <x:c r="H56" s="80"/>
      <x:c r="I56" t="str">
        <x:v>Liste complémentaire</x:v>
      </x:c>
      <x:c r="J56"/>
      <x:c r="K56" s="76" t="str"/>
      <x:c r="L56" t="str">
        <x:v>Thaïs!A104:I104</x:v>
      </x:c>
    </x:row>
    <x:row r="57" ht="26" customHeight="1">
      <x:c r="A57" t="str">
        <x:v>Thaïs</x:v>
      </x:c>
      <x:c r="B57" s="78" t="str">
        <x:v>upgrade armure +3</x:v>
      </x:c>
      <x:c r="C57" t="str">
        <x:v>Forge</x:v>
      </x:c>
      <x:c r="D57"/>
      <x:c r="E57"/>
      <x:c r="F57"/>
      <x:c r="G57" s="60"/>
      <x:c r="H57" s="80"/>
      <x:c r="I57" t="str">
        <x:v>Liste complémentaire</x:v>
      </x:c>
      <x:c r="J57"/>
      <x:c r="K57" s="76" t="str"/>
      <x:c r="L57" t="str">
        <x:v>Thaïs!A105:I105</x:v>
      </x:c>
    </x:row>
    <x:row r="58" ht="26" customHeight="1">
      <x:c r="A58" t="str">
        <x:v>Thaïs</x:v>
      </x:c>
      <x:c r="B58" s="78" t="str">
        <x:v>amelioration weapon of warning</x:v>
      </x:c>
      <x:c r="C58" t="str">
        <x:v>Achat</x:v>
      </x:c>
      <x:c r="D58"/>
      <x:c r="E58" t="str">
        <x:v>peu commun</x:v>
      </x:c>
      <x:c r="F58"/>
      <x:c r="G58" s="60"/>
      <x:c r="H58" s="80"/>
      <x:c r="I58" t="str">
        <x:v>36000</x:v>
      </x:c>
      <x:c r="J58"/>
      <x:c r="K58" s="76" t="str"/>
      <x:c r="L58" t="str">
        <x:v>Thaïs!A106:I106</x:v>
      </x:c>
    </x:row>
    <x:row r="59" ht="26" customHeight="1">
      <x:c r="A59" t="str">
        <x:v>Thaïs</x:v>
      </x:c>
      <x:c r="B59" s="78" t="str">
        <x:v>vend amulette de bonne sante</x:v>
      </x:c>
      <x:c r="C59" t="str">
        <x:v>Achat</x:v>
      </x:c>
      <x:c r="D59"/>
      <x:c r="E59" t="str">
        <x:v>peu commun</x:v>
      </x:c>
      <x:c r="F59"/>
      <x:c r="G59" s="60"/>
      <x:c r="H59" s="80"/>
      <x:c r="I59" t="str">
        <x:v>-50</x:v>
      </x:c>
      <x:c r="J59"/>
      <x:c r="K59" s="76" t="str"/>
      <x:c r="L59" t="str">
        <x:v>Thaïs!A107:I107</x:v>
      </x:c>
    </x:row>
    <x:row r="60" ht="26" customHeight="1">
      <x:c r="A60" t="str">
        <x:v>Thaïs</x:v>
      </x:c>
      <x:c r="B60" s="78" t="str">
        <x:v>periapt of proof against poison</x:v>
      </x:c>
      <x:c r="C60" t="str">
        <x:v>Achat</x:v>
      </x:c>
      <x:c r="D60"/>
      <x:c r="E60" t="str">
        <x:v>rare</x:v>
      </x:c>
      <x:c r="F60"/>
      <x:c r="G60" s="60"/>
      <x:c r="H60" s="80"/>
      <x:c r="I60" t="str">
        <x:v>1000</x:v>
      </x:c>
      <x:c r="J60"/>
      <x:c r="K60" s="76" t="str"/>
      <x:c r="L60" t="str">
        <x:v>Thaïs!A108:I108</x:v>
      </x:c>
    </x:row>
    <x:row r="61" ht="26" customHeight="1">
      <x:c r="A61" t="str">
        <x:v>Thaïs</x:v>
      </x:c>
      <x:c r="B61" s="78" t="str">
        <x:v>chercher comment monter en grade chez les menestrels pour passer archimage</x:v>
      </x:c>
      <x:c r="C61" t="str">
        <x:v>Action / autre</x:v>
      </x:c>
      <x:c r="D61"/>
      <x:c r="E61"/>
      <x:c r="F61"/>
      <x:c r="G61" s="60"/>
      <x:c r="H61" s="80"/>
      <x:c r="I61" t="str">
        <x:v>Liste complémentaire</x:v>
      </x:c>
      <x:c r="J61"/>
      <x:c r="K61" s="76" t="str"/>
      <x:c r="L61" t="str">
        <x:v>Thaïs!A109:I109</x:v>
      </x:c>
    </x:row>
    <x:row r="62" ht="26" customHeight="1">
      <x:c r="A62" t="str">
        <x:v>Thaïs</x:v>
      </x:c>
      <x:c r="B62" s="78" t="str">
        <x:v>gemme sort topaz 6</x:v>
      </x:c>
      <x:c r="C62" t="str">
        <x:v>Achat</x:v>
      </x:c>
      <x:c r="D62"/>
      <x:c r="E62" t="str">
        <x:v>très rare</x:v>
      </x:c>
      <x:c r="F62"/>
      <x:c r="G62" s="60"/>
      <x:c r="H62" s="80"/>
      <x:c r="I62" t="str">
        <x:v>Liste complémentaire</x:v>
      </x:c>
      <x:c r="J62"/>
      <x:c r="K62" s="76" t="str"/>
      <x:c r="L62" t="str">
        <x:v>Thaïs!A110:I110</x:v>
      </x:c>
    </x:row>
    <x:row r="63" ht="26" customHeight="1">
      <x:c r="A63" t="str">
        <x:v>Thaïs</x:v>
      </x:c>
      <x:c r="B63" s="78" t="str">
        <x:v>item pour shadow of moil</x:v>
      </x:c>
      <x:c r="C63" t="str">
        <x:v>Achat</x:v>
      </x:c>
      <x:c r="D63"/>
      <x:c r="E63"/>
      <x:c r="F63"/>
      <x:c r="G63" s="60"/>
      <x:c r="H63" s="80"/>
      <x:c r="I63" t="str">
        <x:v>150</x:v>
      </x:c>
      <x:c r="J63"/>
      <x:c r="K63" s="76" t="str"/>
      <x:c r="L63" t="str">
        <x:v>Thaïs!A111:I111</x:v>
      </x:c>
    </x:row>
    <x:row r="64" ht="26" customHeight="1">
      <x:c r="A64" t="str">
        <x:v>Nono</x:v>
      </x:c>
      <x:c r="B64" s="78" t="str">
        <x:v>Bâton des forets</x:v>
      </x:c>
      <x:c r="C64" t="str">
        <x:v>Achat</x:v>
      </x:c>
      <x:c r="D64" t="n">
        <x:v>1</x:v>
      </x:c>
      <x:c r="E64" t="str">
        <x:v>Rare</x:v>
      </x:c>
      <x:c r="F64" t="str">
        <x:v>Aide dd</x:v>
      </x:c>
      <x:c r="G64" s="60"/>
      <x:c r="H64" s="80" t="n">
        <x:v>5000</x:v>
      </x:c>
      <x:c r="I64" t="str">
        <x:v>OK</x:v>
      </x:c>
      <x:c r="J64"/>
      <x:c r="K64" s="76" t="str">
        <x:v>M: 5000 | N: 1 lien</x:v>
      </x:c>
      <x:c r="L64" t="str">
        <x:v>Nono!A2:N2</x:v>
      </x:c>
    </x:row>
    <x:row r="65" ht="26" customHeight="1">
      <x:c r="A65" t="str">
        <x:v>Nono</x:v>
      </x:c>
      <x:c r="B65" s="78" t="str">
        <x:v>Chasuble de druide</x:v>
      </x:c>
      <x:c r="C65" t="str">
        <x:v>Achat</x:v>
      </x:c>
      <x:c r="D65"/>
      <x:c r="E65"/>
      <x:c r="F65"/>
      <x:c r="G65" s="60" t="n">
        <x:v>10000</x:v>
      </x:c>
      <x:c r="H65" s="80"/>
      <x:c r="I65" t="str">
        <x:v>Non précisé</x:v>
      </x:c>
      <x:c r="J65"/>
      <x:c r="K65" s="76" t="str"/>
      <x:c r="L65" t="str">
        <x:v>Nono!A3:N3</x:v>
      </x:c>
    </x:row>
    <x:row r="66" ht="26" customHeight="1">
      <x:c r="A66" t="str">
        <x:v>Nono</x:v>
      </x:c>
      <x:c r="B66" s="78" t="str">
        <x:v>Anneau soin mystique</x:v>
      </x:c>
      <x:c r="C66" t="str">
        <x:v>Achat</x:v>
      </x:c>
      <x:c r="D66" t="n">
        <x:v>2</x:v>
      </x:c>
      <x:c r="E66"/>
      <x:c r="F66" t="str">
        <x:v>Gemmaline</x:v>
      </x:c>
      <x:c r="G66" s="60" t="n">
        <x:v>3500</x:v>
      </x:c>
      <x:c r="H66" s="80" t="n">
        <x:v>12800</x:v>
      </x:c>
      <x:c r="I66" t="str">
        <x:v>Non précisé</x:v>
      </x:c>
      <x:c r="J66"/>
      <x:c r="K66" s="76" t="str">
        <x:v>I: Construire par rapport à la baguette de boule de feu | L: Retour | M: max 12 800 | N: 1 lien</x:v>
      </x:c>
      <x:c r="L66" t="str">
        <x:v>Nono!A4:N4</x:v>
      </x:c>
    </x:row>
    <x:row r="67" ht="26" customHeight="1">
      <x:c r="A67" t="str">
        <x:v>Nono</x:v>
      </x:c>
      <x:c r="B67" s="78" t="str">
        <x:v>Bouclier antiprojectile</x:v>
      </x:c>
      <x:c r="C67" t="str">
        <x:v>Achat</x:v>
      </x:c>
      <x:c r="D67"/>
      <x:c r="E67" t="str">
        <x:v>Rare</x:v>
      </x:c>
      <x:c r="F67" t="str">
        <x:v>Aide dd</x:v>
      </x:c>
      <x:c r="G67" s="60"/>
      <x:c r="H67" s="80"/>
      <x:c r="I67" t="str">
        <x:v>Non précisé</x:v>
      </x:c>
      <x:c r="J67"/>
      <x:c r="K67" s="76" t="str"/>
      <x:c r="L67" t="str">
        <x:v>Nono!A5:N5</x:v>
      </x:c>
    </x:row>
    <x:row r="68" ht="26" customHeight="1">
      <x:c r="A68" t="str">
        <x:v>Nono</x:v>
      </x:c>
      <x:c r="B68" s="78" t="str">
        <x:v>Anneau de stockage de sort</x:v>
      </x:c>
      <x:c r="C68" t="str">
        <x:v>Achat</x:v>
      </x:c>
      <x:c r="D68" t="n">
        <x:v>3</x:v>
      </x:c>
      <x:c r="E68" t="str">
        <x:v>Rare</x:v>
      </x:c>
      <x:c r="F68" t="str">
        <x:v>Aide dd</x:v>
      </x:c>
      <x:c r="G68" s="60"/>
      <x:c r="H68" s="80" t="n">
        <x:v>4012</x:v>
      </x:c>
      <x:c r="I68" t="str">
        <x:v>Non précisé</x:v>
      </x:c>
      <x:c r="J68"/>
      <x:c r="K68" s="76" t="str">
        <x:v>M: Milo : 4012 | N: 1 lien</x:v>
      </x:c>
      <x:c r="L68" t="str">
        <x:v>Nono!A6:N6</x:v>
      </x:c>
    </x:row>
    <x:row r="69" ht="26" customHeight="1">
      <x:c r="A69" t="str">
        <x:v>Nono</x:v>
      </x:c>
      <x:c r="B69" s="78" t="str">
        <x:v>cape d'elfe</x:v>
      </x:c>
      <x:c r="C69" t="str">
        <x:v>Achat</x:v>
      </x:c>
      <x:c r="D69"/>
      <x:c r="E69"/>
      <x:c r="F69" t="str">
        <x:v>Gemmaline</x:v>
      </x:c>
      <x:c r="G69" s="60" t="n">
        <x:v>2500</x:v>
      </x:c>
      <x:c r="H69" s="80"/>
      <x:c r="I69" t="str">
        <x:v>Non précisé</x:v>
      </x:c>
      <x:c r="J69"/>
      <x:c r="K69" s="76" t="str"/>
      <x:c r="L69" t="str">
        <x:v>Nono!A7:N7</x:v>
      </x:c>
    </x:row>
    <x:row r="70" ht="26" customHeight="1">
      <x:c r="A70" t="str">
        <x:v>Nono</x:v>
      </x:c>
      <x:c r="B70" s="78" t="str">
        <x:v>botte d'elfe</x:v>
      </x:c>
      <x:c r="C70" t="str">
        <x:v>Achat</x:v>
      </x:c>
      <x:c r="D70"/>
      <x:c r="E70"/>
      <x:c r="F70" t="str">
        <x:v>Gemmaline</x:v>
      </x:c>
      <x:c r="G70" s="60" t="n">
        <x:v>2500</x:v>
      </x:c>
      <x:c r="H70" s="80"/>
      <x:c r="I70" t="str">
        <x:v>Non précisé</x:v>
      </x:c>
      <x:c r="J70"/>
      <x:c r="K70" s="76" t="str"/>
      <x:c r="L70" t="str">
        <x:v>Nono!A8:N8</x:v>
      </x:c>
    </x:row>
    <x:row r="71" ht="26" customHeight="1">
      <x:c r="A71" t="str">
        <x:v>Nono</x:v>
      </x:c>
      <x:c r="B71" s="78" t="str">
        <x:v>Bâton de guérison</x:v>
      </x:c>
      <x:c r="C71" t="str">
        <x:v>Achat</x:v>
      </x:c>
      <x:c r="D71"/>
      <x:c r="E71" t="str">
        <x:v>Rare</x:v>
      </x:c>
      <x:c r="F71" t="str">
        <x:v>Aide dd</x:v>
      </x:c>
      <x:c r="G71" s="60"/>
      <x:c r="H71" s="80"/>
      <x:c r="I71" t="str">
        <x:v>Non</x:v>
      </x:c>
      <x:c r="J71"/>
      <x:c r="K71" s="76" t="str"/>
      <x:c r="L71" t="str">
        <x:v>Nono!A9:N9</x:v>
      </x:c>
    </x:row>
    <x:row r="72" ht="26" customHeight="1">
      <x:c r="A72" t="str">
        <x:v>Nono</x:v>
      </x:c>
      <x:c r="B72" s="78" t="str">
        <x:v>Gants antiprojectile</x:v>
      </x:c>
      <x:c r="C72" t="str">
        <x:v>Achat</x:v>
      </x:c>
      <x:c r="D72"/>
      <x:c r="E72" t="str">
        <x:v>Peu commun</x:v>
      </x:c>
      <x:c r="F72" t="str">
        <x:v>Aide dd</x:v>
      </x:c>
      <x:c r="G72" s="60"/>
      <x:c r="H72" s="80"/>
      <x:c r="I72" t="str">
        <x:v>Non précisé</x:v>
      </x:c>
      <x:c r="J72"/>
      <x:c r="K72" s="76" t="str"/>
      <x:c r="L72" t="str">
        <x:v>Nono!A10:N10</x:v>
      </x:c>
    </x:row>
    <x:row r="73" ht="26" customHeight="1">
      <x:c r="A73" t="str">
        <x:v>Nono</x:v>
      </x:c>
      <x:c r="B73" s="78" t="str">
        <x:v>Forme animale sur mon armure de cuir</x:v>
      </x:c>
      <x:c r="C73" t="str">
        <x:v>Forge</x:v>
      </x:c>
      <x:c r="D73"/>
      <x:c r="E73"/>
      <x:c r="F73" t="str">
        <x:v>Gemmaline</x:v>
      </x:c>
      <x:c r="G73" s="60"/>
      <x:c r="H73" s="80"/>
      <x:c r="I73" t="str">
        <x:v>Non précisé</x:v>
      </x:c>
      <x:c r="J73"/>
      <x:c r="K73" s="76" t="str">
        <x:v>L: Armure de cuir clouté + 2 7600 | M: FA 21250 | N: 1 lien | E source: Bonus +3</x:v>
      </x:c>
      <x:c r="L73" t="str">
        <x:v>Nono!A11:N11</x:v>
      </x:c>
    </x:row>
    <x:row r="74" ht="26" customHeight="1">
      <x:c r="A74" t="str">
        <x:v>Nono</x:v>
      </x:c>
      <x:c r="B74" s="78" t="str">
        <x:v>Forme animale sur mon bouclier</x:v>
      </x:c>
      <x:c r="C74" t="str">
        <x:v>Forge</x:v>
      </x:c>
      <x:c r="D74"/>
      <x:c r="E74"/>
      <x:c r="F74" t="str">
        <x:v>Gemmaline</x:v>
      </x:c>
      <x:c r="G74" s="60"/>
      <x:c r="H74" s="80"/>
      <x:c r="I74" t="str">
        <x:v>Non précisé</x:v>
      </x:c>
      <x:c r="J74"/>
      <x:c r="K74" s="76" t="str">
        <x:v>E source: Bonus +3</x:v>
      </x:c>
      <x:c r="L74" t="str">
        <x:v>Nono!A12:N12</x:v>
      </x:c>
    </x:row>
    <x:row r="75" ht="26" customHeight="1">
      <x:c r="A75" t="str">
        <x:v>Nono</x:v>
      </x:c>
      <x:c r="B75" s="78" t="str">
        <x:v>armure de cuir clouté +2 ( si le prix est raisonnable)</x:v>
      </x:c>
      <x:c r="C75" t="str">
        <x:v>Forge</x:v>
      </x:c>
      <x:c r="D75" t="n">
        <x:v>5</x:v>
      </x:c>
      <x:c r="E75"/>
      <x:c r="F75"/>
      <x:c r="G75" s="60"/>
      <x:c r="H75" s="80" t="n">
        <x:v>0</x:v>
      </x:c>
      <x:c r="I75" t="str">
        <x:v>Non précisé</x:v>
      </x:c>
      <x:c r="J75"/>
      <x:c r="K75" s="76" t="str"/>
      <x:c r="L75" t="str">
        <x:v>Nono!A13:N13</x:v>
      </x:c>
    </x:row>
    <x:row r="76" ht="26" customHeight="1">
      <x:c r="A76" t="str">
        <x:v>Nono</x:v>
      </x:c>
      <x:c r="B76" s="78" t="str">
        <x:v>Sac sans fond</x:v>
      </x:c>
      <x:c r="C76" t="str">
        <x:v>Achat</x:v>
      </x:c>
      <x:c r="D76" t="n">
        <x:v>6</x:v>
      </x:c>
      <x:c r="E76"/>
      <x:c r="F76"/>
      <x:c r="G76" s="60"/>
      <x:c r="H76" s="80" t="n">
        <x:v>0</x:v>
      </x:c>
      <x:c r="I76" t="str">
        <x:v>Non précisé</x:v>
      </x:c>
      <x:c r="J76"/>
      <x:c r="K76" s="76" t="str"/>
      <x:c r="L76" t="str">
        <x:v>Nono!A14:N14</x:v>
      </x:c>
    </x:row>
    <x:row r="77" ht="26" customHeight="1">
      <x:c r="A77" t="str">
        <x:v>Nono</x:v>
      </x:c>
      <x:c r="B77" s="78" t="str">
        <x:v>kit herboriste</x:v>
      </x:c>
      <x:c r="C77" t="str">
        <x:v>Achat</x:v>
      </x:c>
      <x:c r="D77" t="n">
        <x:v>7</x:v>
      </x:c>
      <x:c r="E77"/>
      <x:c r="F77"/>
      <x:c r="G77" s="60"/>
      <x:c r="H77" s="80" t="n">
        <x:v>5</x:v>
      </x:c>
      <x:c r="I77" t="str">
        <x:v>Non précisé</x:v>
      </x:c>
      <x:c r="J77"/>
      <x:c r="K77" s="76" t="str"/>
      <x:c r="L77" t="str">
        <x:v>Nono!A15:N15</x:v>
      </x:c>
    </x:row>
    <x:row r="78" ht="26" customHeight="1">
      <x:c r="A78" t="str">
        <x:v>Nono</x:v>
      </x:c>
      <x:c r="B78" s="78" t="str">
        <x:v>Corde d'escalade ( peu commun) pour me débrouiller quand je suis seule sans utiliser mes transformations</x:v>
      </x:c>
      <x:c r="C78" t="str">
        <x:v>Achat</x:v>
      </x:c>
      <x:c r="D78" t="n">
        <x:v>8</x:v>
      </x:c>
      <x:c r="E78"/>
      <x:c r="F78"/>
      <x:c r="G78" s="60"/>
      <x:c r="H78" s="80" t="n">
        <x:v>0</x:v>
      </x:c>
      <x:c r="I78" t="str">
        <x:v>Non précisé</x:v>
      </x:c>
      <x:c r="J78"/>
      <x:c r="K78" s="76" t="str"/>
      <x:c r="L78" t="str">
        <x:v>Nono!A16:N16</x:v>
      </x:c>
    </x:row>
    <x:row r="79" ht="26" customHeight="1">
      <x:c r="A79" t="str">
        <x:v>Nono</x:v>
      </x:c>
      <x:c r="B79" s="78" t="str">
        <x:v>Pierre de communication ( peu commun) pour permettre au groupe de communiquer si on split ou pour communiquer avec les autres si pb quand je pars seule ( portée illimitée)</x:v>
      </x:c>
      <x:c r="C79" t="str">
        <x:v>Achat</x:v>
      </x:c>
      <x:c r="D79" t="n">
        <x:v>9</x:v>
      </x:c>
      <x:c r="E79"/>
      <x:c r="F79"/>
      <x:c r="G79" s="60"/>
      <x:c r="H79" s="80" t="n">
        <x:v>0</x:v>
      </x:c>
      <x:c r="I79" t="str">
        <x:v>Non précisé</x:v>
      </x:c>
      <x:c r="J79"/>
      <x:c r="K79" s="76" t="str"/>
      <x:c r="L79" t="str">
        <x:v>Nono!A17:N17</x:v>
      </x:c>
    </x:row>
    <x:row r="80" ht="26" customHeight="1">
      <x:c r="A80" t="str">
        <x:v>Nono</x:v>
      </x:c>
      <x:c r="B80" s="78" t="str">
        <x:v>Potion de soin</x:v>
      </x:c>
      <x:c r="C80" t="str">
        <x:v>Consommable</x:v>
      </x:c>
      <x:c r="D80" t="n">
        <x:v>10</x:v>
      </x:c>
      <x:c r="E80" t="str">
        <x:v>Commun</x:v>
      </x:c>
      <x:c r="F80" t="n">
        <x:v>0</x:v>
      </x:c>
      <x:c r="G80" s="60" t="n">
        <x:v>50</x:v>
      </x:c>
      <x:c r="H80" s="80" t="n">
        <x:v>0</x:v>
      </x:c>
      <x:c r="I80" t="str">
        <x:v>Non précisé</x:v>
      </x:c>
      <x:c r="J80"/>
      <x:c r="K80" s="76" t="str"/>
      <x:c r="L80" t="str">
        <x:v>Nono!A18:N18</x:v>
      </x:c>
    </x:row>
    <x:row r="81" ht="26" customHeight="1">
      <x:c r="A81" t="str">
        <x:v>Nono</x:v>
      </x:c>
      <x:c r="B81" s="78" t="str">
        <x:v>Potion de soin supérieur</x:v>
      </x:c>
      <x:c r="C81" t="str">
        <x:v>Consommable</x:v>
      </x:c>
      <x:c r="D81"/>
      <x:c r="E81" t="str">
        <x:v>peu commun</x:v>
      </x:c>
      <x:c r="F81" t="n">
        <x:v>0</x:v>
      </x:c>
      <x:c r="G81" s="60" t="n">
        <x:v>500</x:v>
      </x:c>
      <x:c r="H81" s="80" t="n">
        <x:v>0</x:v>
      </x:c>
      <x:c r="I81" t="str">
        <x:v>Non précisé</x:v>
      </x:c>
      <x:c r="J81"/>
      <x:c r="K81" s="76" t="str"/>
      <x:c r="L81" t="str">
        <x:v>Nono!A19:N19</x:v>
      </x:c>
    </x:row>
    <x:row r="82" ht="26" customHeight="1">
      <x:c r="A82" t="str">
        <x:v>Nono</x:v>
      </x:c>
      <x:c r="B82" s="78" t="str">
        <x:v>Potion de soin majeur</x:v>
      </x:c>
      <x:c r="C82" t="str">
        <x:v>Consommable</x:v>
      </x:c>
      <x:c r="D82"/>
      <x:c r="E82" t="str">
        <x:v>rare</x:v>
      </x:c>
      <x:c r="F82" t="n">
        <x:v>0</x:v>
      </x:c>
      <x:c r="G82" s="60" t="n">
        <x:v>5000</x:v>
      </x:c>
      <x:c r="H82" s="80" t="n">
        <x:v>0</x:v>
      </x:c>
      <x:c r="I82" t="str">
        <x:v>Non précisé</x:v>
      </x:c>
      <x:c r="J82"/>
      <x:c r="K82" s="76" t="str"/>
      <x:c r="L82" t="str">
        <x:v>Nono!A20:N20</x:v>
      </x:c>
    </x:row>
    <x:row r="83" ht="26" customHeight="1">
      <x:c r="A83" t="str">
        <x:v>Nono</x:v>
      </x:c>
      <x:c r="B83" s="78" t="str">
        <x:v>Potion supreme</x:v>
      </x:c>
      <x:c r="C83" t="str">
        <x:v>Consommable</x:v>
      </x:c>
      <x:c r="D83"/>
      <x:c r="E83" t="str">
        <x:v>tres rare</x:v>
      </x:c>
      <x:c r="F83" t="n">
        <x:v>0</x:v>
      </x:c>
      <x:c r="G83" s="60" t="n">
        <x:v>50000</x:v>
      </x:c>
      <x:c r="H83" s="80" t="n">
        <x:v>0</x:v>
      </x:c>
      <x:c r="I83" t="str">
        <x:v>Non précisé</x:v>
      </x:c>
      <x:c r="J83"/>
      <x:c r="K83" s="76" t="str"/>
      <x:c r="L83" t="str">
        <x:v>Nono!A21:N21</x:v>
      </x:c>
    </x:row>
    <x:row r="84" ht="26" customHeight="1">
      <x:c r="A84" t="str">
        <x:v>Nono</x:v>
      </x:c>
      <x:c r="B84" s="78" t="str">
        <x:v>quelques paquets de poussière de disparition ( peu commun)</x:v>
      </x:c>
      <x:c r="C84" t="str">
        <x:v>Consommable</x:v>
      </x:c>
      <x:c r="D84" t="n">
        <x:v>11</x:v>
      </x:c>
      <x:c r="E84"/>
      <x:c r="F84" t="n">
        <x:v>0</x:v>
      </x:c>
      <x:c r="G84" s="60"/>
      <x:c r="H84" s="80" t="n">
        <x:v>0</x:v>
      </x:c>
      <x:c r="I84" t="str">
        <x:v>Non précisé</x:v>
      </x:c>
      <x:c r="J84"/>
      <x:c r="K84" s="76" t="str">
        <x:v>E source: 250</x:v>
      </x:c>
      <x:c r="L84" t="str">
        <x:v>Nono!A22:N22</x:v>
      </x:c>
    </x:row>
    <x:row r="85" ht="26" customHeight="1">
      <x:c r="A85" t="str">
        <x:v>Nono</x:v>
      </x:c>
      <x:c r="B85" s="78" t="str">
        <x:v>Baguette de détection de la magie ( peu commun) , je ne compte pas préparer le sort et au final personne ne va le préparer donc ça peut servir et je n'ai pas besoin d'avoir la baguette en main sauf quand besoin.</x:v>
      </x:c>
      <x:c r="C85" t="str">
        <x:v>Achat</x:v>
      </x:c>
      <x:c r="D85" t="n">
        <x:v>12</x:v>
      </x:c>
      <x:c r="E85"/>
      <x:c r="F85" t="n">
        <x:v>0</x:v>
      </x:c>
      <x:c r="G85" s="60"/>
      <x:c r="H85" s="80" t="n">
        <x:v>0</x:v>
      </x:c>
      <x:c r="I85" t="str">
        <x:v>Non précisé</x:v>
      </x:c>
      <x:c r="J85"/>
      <x:c r="K85" s="76" t="str"/>
      <x:c r="L85" t="str">
        <x:v>Nono!A23:N23</x:v>
      </x:c>
    </x:row>
    <x:row r="86" ht="26" customHeight="1">
      <x:c r="A86" t="str">
        <x:v>Nono</x:v>
      </x:c>
      <x:c r="B86" s="78" t="str">
        <x:v>Des contenants pour les décoction et macération</x:v>
      </x:c>
      <x:c r="C86" t="str">
        <x:v>Achat</x:v>
      </x:c>
      <x:c r="D86" t="n">
        <x:v>13</x:v>
      </x:c>
      <x:c r="E86"/>
      <x:c r="F86"/>
      <x:c r="G86" s="60"/>
      <x:c r="H86" s="80"/>
      <x:c r="I86" t="str">
        <x:v>Non précisé</x:v>
      </x:c>
      <x:c r="J86"/>
      <x:c r="K86" s="76" t="str"/>
      <x:c r="L86" t="str">
        <x:v>Nono!A24:N24</x:v>
      </x:c>
    </x:row>
    <x:row r="87" ht="26" customHeight="1">
      <x:c r="A87" t="str">
        <x:v>Flo</x:v>
      </x:c>
      <x:c r="B87" s="78" t="str">
        <x:v>Bouclier +2</x:v>
      </x:c>
      <x:c r="C87" t="str">
        <x:v>Achat</x:v>
      </x:c>
      <x:c r="D87"/>
      <x:c r="E87" t="str">
        <x:v>rare</x:v>
      </x:c>
      <x:c r="F87" t="str">
        <x:v>aidedd</x:v>
      </x:c>
      <x:c r="G87" s="60" t="n">
        <x:v>6375</x:v>
      </x:c>
      <x:c r="H87" s="80"/>
      <x:c r="I87" t="str">
        <x:v>Non précisé</x:v>
      </x:c>
      <x:c r="J87"/>
      <x:c r="K87" s="76" t="str">
        <x:v>Lien ?: Non</x:v>
      </x:c>
      <x:c r="L87" t="str">
        <x:v>Flo!A2:H2</x:v>
      </x:c>
    </x:row>
    <x:row r="88" ht="26" customHeight="1">
      <x:c r="A88" t="str">
        <x:v>Flo</x:v>
      </x:c>
      <x:c r="B88" s="78" t="str">
        <x:v>Cape de déplacement</x:v>
      </x:c>
      <x:c r="C88" t="str">
        <x:v>Achat</x:v>
      </x:c>
      <x:c r="D88"/>
      <x:c r="E88" t="str">
        <x:v>Rare</x:v>
      </x:c>
      <x:c r="F88" t="str">
        <x:v>Aidedd</x:v>
      </x:c>
      <x:c r="G88" s="60" t="n">
        <x:v>2117</x:v>
      </x:c>
      <x:c r="H88" s="80"/>
      <x:c r="I88" t="str">
        <x:v>Non précisé</x:v>
      </x:c>
      <x:c r="J88"/>
      <x:c r="K88" s="76" t="str">
        <x:v>jaune et vert à carreaux | Lien ?: Oui</x:v>
      </x:c>
      <x:c r="L88" t="str">
        <x:v>Flo!A4:H4</x:v>
      </x:c>
    </x:row>
    <x:row r="89" ht="26" customHeight="1">
      <x:c r="A89" t="str">
        <x:v>Flo</x:v>
      </x:c>
      <x:c r="B89" s="78" t="str">
        <x:v>2ifier l'armure (5950)</x:v>
      </x:c>
      <x:c r="C89" t="str">
        <x:v>Forge</x:v>
      </x:c>
      <x:c r="D89"/>
      <x:c r="E89" t="str">
        <x:v>Très rare </x:v>
      </x:c>
      <x:c r="F89" t="str">
        <x:v>Aidedd</x:v>
      </x:c>
      <x:c r="G89" s="60"/>
      <x:c r="H89" s="80"/>
      <x:c r="I89" t="str">
        <x:v>Non précisé</x:v>
      </x:c>
      <x:c r="J89"/>
      <x:c r="K89" s="76" t="str">
        <x:v>-&gt; baton de foudre voirs avec Bazire | Lien ?: non</x:v>
      </x:c>
      <x:c r="L89" t="str">
        <x:v>Flo!A5:H5</x:v>
      </x:c>
    </x:row>
    <x:row r="90" ht="26" customHeight="1">
      <x:c r="A90" t="str">
        <x:v>Flo</x:v>
      </x:c>
      <x:c r="B90" s="78" t="str">
        <x:v>outils de bricoleur</x:v>
      </x:c>
      <x:c r="C90" t="str">
        <x:v>Service / outils</x:v>
      </x:c>
      <x:c r="D90"/>
      <x:c r="E90"/>
      <x:c r="F90" t="str">
        <x:v>AideDD</x:v>
      </x:c>
      <x:c r="G90" s="60"/>
      <x:c r="H90" s="80"/>
      <x:c r="I90" t="str">
        <x:v>Non précisé</x:v>
      </x:c>
      <x:c r="J90"/>
      <x:c r="K90" s="76" t="str">
        <x:v>poura permetre de proposer des petits trics sympa RP dans certaines situations | Valeur source: 50po (outils) + 250PO (1Po/jour pendant 250j pr maîtrise d'outils)</x:v>
      </x:c>
      <x:c r="L90" t="str">
        <x:v>Flo!A6:H6</x:v>
      </x:c>
    </x:row>
    <x:row r="91" ht="26" customHeight="1">
      <x:c r="A91" t="str">
        <x:v>Flo</x:v>
      </x:c>
      <x:c r="B91" s="78" t="str">
        <x:v>anneau stockage sort</x:v>
      </x:c>
      <x:c r="C91" t="str">
        <x:v>Achat</x:v>
      </x:c>
      <x:c r="D91"/>
      <x:c r="E91" t="str">
        <x:v>rare</x:v>
      </x:c>
      <x:c r="F91" t="str">
        <x:v>Aidedd</x:v>
      </x:c>
      <x:c r="G91" s="60" t="n">
        <x:v>3140</x:v>
      </x:c>
      <x:c r="H91" s="80"/>
      <x:c r="I91" t="str">
        <x:v>Non précisé</x:v>
      </x:c>
      <x:c r="J91"/>
      <x:c r="K91" s="76" t="str">
        <x:v>Lien ?: OUi</x:v>
      </x:c>
      <x:c r="L91" t="str">
        <x:v>Flo!A8:H8</x:v>
      </x:c>
    </x:row>
    <x:row r="92" ht="26" customHeight="1">
      <x:c r="A92" t="str">
        <x:v>Flo</x:v>
      </x:c>
      <x:c r="B92" s="78" t="str">
        <x:v>bateau pliable</x:v>
      </x:c>
      <x:c r="C92" t="str">
        <x:v>Achat</x:v>
      </x:c>
      <x:c r="D92"/>
      <x:c r="E92" t="str">
        <x:v>rare</x:v>
      </x:c>
      <x:c r="F92" t="str">
        <x:v>aidedd</x:v>
      </x:c>
      <x:c r="G92" s="60" t="n">
        <x:v>3996</x:v>
      </x:c>
      <x:c r="H92" s="80"/>
      <x:c r="I92" t="str">
        <x:v>Non précisé</x:v>
      </x:c>
      <x:c r="J92"/>
      <x:c r="K92" s="76" t="str">
        <x:v>MARIN !!!! à customiser à volonté | Lien ?: non</x:v>
      </x:c>
      <x:c r="L92" t="str">
        <x:v>Flo!A9:H9</x:v>
      </x:c>
    </x:row>
    <x:row r="93" ht="26" customHeight="1">
      <x:c r="A93" t="str">
        <x:v>Flo</x:v>
      </x:c>
      <x:c r="B93" s="78" t="str">
        <x:v>BOL DE CONTRÔLE DES ÉLÉMENTAIRES DE L'EAU</x:v>
      </x:c>
      <x:c r="C93" t="str">
        <x:v>Achat</x:v>
      </x:c>
      <x:c r="D93"/>
      <x:c r="E93" t="str">
        <x:v>rare</x:v>
      </x:c>
      <x:c r="F93" t="str">
        <x:v>aidedd</x:v>
      </x:c>
      <x:c r="G93" s="60" t="n">
        <x:v>3800</x:v>
      </x:c>
      <x:c r="H93" s="80"/>
      <x:c r="I93" t="str">
        <x:v>Non précisé</x:v>
      </x:c>
      <x:c r="J93"/>
      <x:c r="K93" s="76" t="str">
        <x:v>copain !!! catalyseur de sorts de vision | Lien ?: non</x:v>
      </x:c>
      <x:c r="L93" t="str">
        <x:v>Flo!A10:H10</x:v>
      </x:c>
    </x:row>
    <x:row r="94" ht="26" customHeight="1">
      <x:c r="A94" t="str">
        <x:v>Flo</x:v>
      </x:c>
      <x:c r="B94" s="78" t="str">
        <x:v>Cor du valhala</x:v>
      </x:c>
      <x:c r="C94" t="str">
        <x:v>Achat</x:v>
      </x:c>
      <x:c r="D94"/>
      <x:c r="E94"/>
      <x:c r="F94"/>
      <x:c r="G94" s="60" t="n">
        <x:v>3800</x:v>
      </x:c>
      <x:c r="H94" s="80"/>
      <x:c r="I94" t="str">
        <x:v>Non précisé</x:v>
      </x:c>
      <x:c r="J94"/>
      <x:c r="K94" s="76" t="str"/>
      <x:c r="L94" t="str">
        <x:v>Flo!A12:H12</x:v>
      </x:c>
    </x:row>
    <x:row r="95" ht="26" customHeight="1">
      <x:c r="A95" t="str">
        <x:v>Flo</x:v>
      </x:c>
      <x:c r="B95" s="78" t="str">
        <x:v>Trident des tempêtes</x:v>
      </x:c>
      <x:c r="C95" t="str">
        <x:v>Achat</x:v>
      </x:c>
      <x:c r="D95"/>
      <x:c r="E95"/>
      <x:c r="F95"/>
      <x:c r="G95" s="60"/>
      <x:c r="H95" s="80"/>
      <x:c r="I95" t="str">
        <x:v>Non précisé</x:v>
      </x:c>
      <x:c r="J95"/>
      <x:c r="K9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 | Lien ?: oui</x:v>
      </x:c>
      <x:c r="L95" t="str">
        <x:v>Flo!A15:H15</x:v>
      </x:c>
    </x:row>
    <x:row r="96" ht="26" customHeight="1">
      <x:c r="A96" t="str">
        <x:v>Flo</x:v>
      </x:c>
      <x:c r="B96" s="78" t="str">
        <x:v>amulette de dévotion (+2 ou +3)</x:v>
      </x:c>
      <x:c r="C96" t="str">
        <x:v>Achat</x:v>
      </x:c>
      <x:c r="D96"/>
      <x:c r="E96" t="str">
        <x:v>+2 rare / +3 très rare</x:v>
      </x:c>
      <x:c r="F96"/>
      <x:c r="G96" s="60"/>
      <x:c r="H96" s="80"/>
      <x:c r="I96" t="str">
        <x:v>Non précisé</x:v>
      </x:c>
      <x:c r="J96" t="str">
        <x:v>http://dnd5e.wikidot.com/wondrous-items:amulet-of-the-devout</x:v>
      </x:c>
      <x:c r="K96" s="76" t="str">
        <x:v>attention non cumulable avec effet trident | Lien ?: oui</x:v>
      </x:c>
      <x:c r="L96" t="str">
        <x:v>Flo!A21:H21</x:v>
      </x:c>
    </x:row>
    <x:row r="97" ht="26" customHeight="1">
      <x:c r="A97" t="str">
        <x:v>Flo</x:v>
      </x:c>
      <x:c r="B97" s="78" t="str">
        <x:v>ceinturon tempete</x:v>
      </x:c>
      <x:c r="C97" t="str">
        <x:v>Achat</x:v>
      </x:c>
      <x:c r="D97"/>
      <x:c r="E97" t="str">
        <x:v>legendaire</x:v>
      </x:c>
      <x:c r="F97"/>
      <x:c r="G97" s="60"/>
      <x:c r="H97" s="80"/>
      <x:c r="I97" t="str">
        <x:v>Non précisé</x:v>
      </x:c>
      <x:c r="J97" t="str">
        <x:v>http://dnd5e.wikidot.com/wondrous-items:stormgirdle</x:v>
      </x:c>
      <x:c r="K97" s="76" t="str">
        <x:v>Lien ?: oui</x:v>
      </x:c>
      <x:c r="L97" t="str">
        <x:v>Flo!A22:H22</x:v>
      </x:c>
    </x:row>
    <x:row r="98" ht="26" customHeight="1">
      <x:c r="A98" t="str">
        <x:v>Flo</x:v>
      </x:c>
      <x:c r="B98" s="78" t="str">
        <x:v>Anneau de contrôle de l'Air Élémentaire</x:v>
      </x:c>
      <x:c r="C98" t="str">
        <x:v>Achat</x:v>
      </x:c>
      <x:c r="D98"/>
      <x:c r="E98" t="str">
        <x:v>legendaire</x:v>
      </x:c>
      <x:c r="F98"/>
      <x:c r="G98" s="60"/>
      <x:c r="H98" s="80"/>
      <x:c r="I98" t="str">
        <x:v>Non précisé</x:v>
      </x:c>
      <x:c r="J98" t="str">
        <x:v>https://www.aidedd.org/dnd/om.php?vf=anneau-de-controle-des-elementaires</x:v>
      </x:c>
      <x:c r="K98" s="76" t="str">
        <x:v>Lien ?: oui</x:v>
      </x:c>
      <x:c r="L98" t="str">
        <x:v>Flo!A23:H23</x:v>
      </x:c>
    </x:row>
    <x:row r="99" ht="26" customHeight="1">
      <x:c r="A99" t="str">
        <x:v>Flo</x:v>
      </x:c>
      <x:c r="B99" s="78" t="str">
        <x:v>Vague</x:v>
      </x:c>
      <x:c r="C99" t="str">
        <x:v>Achat</x:v>
      </x:c>
      <x:c r="D99"/>
      <x:c r="E99" t="str">
        <x:v>legendaire</x:v>
      </x:c>
      <x:c r="F99"/>
      <x:c r="G99" s="60"/>
      <x:c r="H99" s="80"/>
      <x:c r="I99" t="str">
        <x:v>Non précisé</x:v>
      </x:c>
      <x:c r="J99" t="str">
        <x:v>https://www.aidedd.org/dnd/om.php?vf=vague</x:v>
      </x:c>
      <x:c r="K99" s="76" t="str">
        <x:v>Lien ?: oui</x:v>
      </x:c>
      <x:c r="L99" t="str">
        <x:v>Flo!A24:H24</x:v>
      </x:c>
    </x:row>
    <x:row r="100" ht="26" customHeight="1">
      <x:c r="A100" t="str">
        <x:v>Flo</x:v>
      </x:c>
      <x:c r="B100" s="78" t="str">
        <x:v>+3ifier l'armure</x:v>
      </x:c>
      <x:c r="C100" t="str">
        <x:v>Forge</x:v>
      </x:c>
      <x:c r="D100"/>
      <x:c r="E100"/>
      <x:c r="F100" t="str">
        <x:v>base</x:v>
      </x:c>
      <x:c r="G100" s="60" t="n">
        <x:v>22950</x:v>
      </x:c>
      <x:c r="H100" s="80" t="n">
        <x:v>17500</x:v>
      </x:c>
      <x:c r="I100" t="str">
        <x:v>oui</x:v>
      </x:c>
      <x:c r="J100"/>
      <x:c r="K100" s="76" t="str">
        <x:v>Lien ?: non</x:v>
      </x:c>
      <x:c r="L100" t="str">
        <x:v>Flo!A27:H27</x:v>
      </x:c>
    </x:row>
    <x:row r="101" ht="26" customHeight="1">
      <x:c r="A101" t="str">
        <x:v>Flo</x:v>
      </x:c>
      <x:c r="B101" s="78" t="str">
        <x:v>+3ifier le bouclier</x:v>
      </x:c>
      <x:c r="C101" t="str">
        <x:v>Forge</x:v>
      </x:c>
      <x:c r="D101"/>
      <x:c r="E101"/>
      <x:c r="F101" t="str">
        <x:v>base</x:v>
      </x:c>
      <x:c r="G101" s="60" t="n">
        <x:v>22950</x:v>
      </x:c>
      <x:c r="H101" s="80" t="n">
        <x:v>0</x:v>
      </x:c>
      <x:c r="I101" t="str">
        <x:v>oui</x:v>
      </x:c>
      <x:c r="J101"/>
      <x:c r="K101" s="76" t="str">
        <x:v>Lien ?: non</x:v>
      </x:c>
      <x:c r="L101" t="str">
        <x:v>Flo!A28:H28</x:v>
      </x:c>
    </x:row>
    <x:row r="102" ht="26" customHeight="1">
      <x:c r="A102" t="str">
        <x:v>Flo</x:v>
      </x:c>
      <x:c r="B102" s="78" t="str">
        <x:v>bouclier gardesort +3 (2 slots pris)</x:v>
      </x:c>
      <x:c r="C102" t="str">
        <x:v>Forge</x:v>
      </x:c>
      <x:c r="D102"/>
      <x:c r="E102" t="str">
        <x:v>très rare</x:v>
      </x:c>
      <x:c r="F102"/>
      <x:c r="G102" s="60" t="n">
        <x:v>41500</x:v>
      </x:c>
      <x:c r="H102" s="80" t="n">
        <x:v>41500</x:v>
      </x:c>
      <x:c r="I102" t="str">
        <x:v>oui</x:v>
      </x:c>
      <x:c r="J102" t="str">
        <x:v>https://www.aidedd.org/dnd/om.php?vf=bouclier-gardesort</x:v>
      </x:c>
      <x:c r="K102" s="76" t="str">
        <x:v>Lien ?: oui</x:v>
      </x:c>
      <x:c r="L102" t="str">
        <x:v>Flo!A31:H31</x:v>
      </x:c>
    </x:row>
    <x:row r="103" ht="26" customHeight="1">
      <x:c r="A103" t="str">
        <x:v>Marty</x:v>
      </x:c>
      <x:c r="B103" s="78" t="str">
        <x:v>sceptre de défense</x:v>
      </x:c>
      <x:c r="C103" t="str">
        <x:v>Forge</x:v>
      </x:c>
      <x:c r="D103"/>
      <x:c r="E103"/>
      <x:c r="F103" t="str">
        <x:v>Recherche / idée</x:v>
      </x:c>
      <x:c r="G103" s="60"/>
      <x:c r="H103" s="80"/>
      <x:c r="I103"/>
      <x:c r="J103"/>
      <x:c r="K103" s="76" t="str">
        <x:v>Contre sort / globle d'invulnérabilité</x:v>
      </x:c>
      <x:c r="L103" t="str">
        <x:v>Marty!A3:E3</x:v>
      </x:c>
    </x:row>
    <x:row r="104" ht="26" customHeight="1">
      <x:c r="A104" t="str">
        <x:v>Marty</x:v>
      </x:c>
      <x:c r="B104" s="78" t="str">
        <x:v>Armure de plates en adamantium</x:v>
      </x:c>
      <x:c r="C104" t="str">
        <x:v>Forge</x:v>
      </x:c>
      <x:c r="D104"/>
      <x:c r="E104"/>
      <x:c r="F104" t="str">
        <x:v>Recherche / idée</x:v>
      </x:c>
      <x:c r="G104" s="60"/>
      <x:c r="H104" s="80"/>
      <x:c r="I104"/>
      <x:c r="J104"/>
      <x:c r="K104" s="76" t="str">
        <x:v>"+1" / protection contre les armes / Absorption des éléments / (le cas échéant un enchantement "cape de déplacement" sans lien)</x:v>
      </x:c>
      <x:c r="L104" t="str">
        <x:v>Marty!A4:E4</x:v>
      </x:c>
    </x:row>
    <x:row r="105" ht="26" customHeight="1">
      <x:c r="A105" t="str">
        <x:v>Marty</x:v>
      </x:c>
      <x:c r="B105" s="78" t="str">
        <x:v>Armure lourde — enchantement discret et PV temporaires</x:v>
      </x:c>
      <x:c r="C105" t="str">
        <x:v>Forge</x:v>
      </x:c>
      <x:c r="D105"/>
      <x:c r="E105"/>
      <x:c r="F105" t="str">
        <x:v>Recherche / idée</x:v>
      </x:c>
      <x:c r="G105" s="60"/>
      <x:c r="H105" s="80"/>
      <x:c r="I105"/>
      <x:c r="J105"/>
      <x:c r="K105" s="76" t="str">
        <x:v>Armure lourde discrete ? / Donne des PV supplementaires temporaire ou max tant que je porte l'armure et se regen une fois par jour au lever du soleil ?</x:v>
      </x:c>
      <x:c r="L105" t="str">
        <x:v>Marty!A5:E5</x:v>
      </x:c>
    </x:row>
    <x:row r="106" ht="26" customHeight="1">
      <x:c r="A106" t="str">
        <x:v>Marty</x:v>
      </x:c>
      <x:c r="B106" s="78" t="str">
        <x:v>En cours de recherche :</x:v>
      </x:c>
      <x:c r="C106" t="str">
        <x:v>Forge</x:v>
      </x:c>
      <x:c r="D106"/>
      <x:c r="E106"/>
      <x:c r="F106" t="str">
        <x:v>Recherche / idée</x:v>
      </x:c>
      <x:c r="G106" s="60"/>
      <x:c r="H106" s="80"/>
      <x:c r="I106"/>
      <x:c r="J106"/>
      <x:c r="K106" s="76" t="str">
        <x:v>Arme "vampirique" qui vole les points de vie lorsqu'il fait des dégats pour le combiner à mon amulette de cicatrisation qui double ma régène de point de vie à chaque fois que je me soigne</x:v>
      </x:c>
      <x:c r="L106" t="str">
        <x:v>Marty!A11:E11</x:v>
      </x:c>
    </x:row>
    <x:row r="107" ht="26" customHeight="1">
      <x:c r="A107" t="str">
        <x:v>Marty</x:v>
      </x:c>
      <x:c r="B107" s="78" t="str">
        <x:v>Cape de déplacement</x:v>
      </x:c>
      <x:c r="C107" t="str">
        <x:v>Achat</x:v>
      </x:c>
      <x:c r="D107"/>
      <x:c r="E107"/>
      <x:c r="F107" t="str">
        <x:v>Recherche / idée</x:v>
      </x:c>
      <x:c r="G107" s="60"/>
      <x:c r="H107" s="80"/>
      <x:c r="I107"/>
      <x:c r="J107"/>
      <x:c r="K107" s="76" t="str">
        <x:v>Merveilleux / Oui</x:v>
      </x:c>
      <x:c r="L107" t="str">
        <x:v>Marty!A14:E14</x:v>
      </x:c>
    </x:row>
    <x:row r="108" ht="26" customHeight="1">
      <x:c r="A108" t="str">
        <x:v>Marty</x:v>
      </x:c>
      <x:c r="B108" s="78" t="str">
        <x:v>Sac à malice (rouille ou ocre)</x:v>
      </x:c>
      <x:c r="C108" t="str">
        <x:v>Achat</x:v>
      </x:c>
      <x:c r="D108"/>
      <x:c r="E108"/>
      <x:c r="F108" t="str">
        <x:v>Recherche / idée</x:v>
      </x:c>
      <x:c r="G108" s="60"/>
      <x:c r="H108" s="80"/>
      <x:c r="I108"/>
      <x:c r="J108"/>
      <x:c r="K108" s="76" t="str">
        <x:v>Merveilleux</x:v>
      </x:c>
      <x:c r="L108" t="str">
        <x:v>Marty!A15:E15</x:v>
      </x:c>
    </x:row>
  </x:sheetData>
  <x:mergeCells>
    <x:mergeCell ref="A1:L1"/>
    <x:mergeCell ref="A2:L2"/>
  </x:mergeCells>
  <x:dataValidations count="1">
    <x:dataValidation type="list" sqref="C6:C108">
      <x:formula1>"Achat,Forge,Consommable,Service / outils,Action / autre"</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5" hidden="0" customWidth="1"/>
    <x:col min="2" max="2" width="51" hidden="0" customWidth="1"/>
    <x:col min="3" max="3" width="16" hidden="0" customWidth="1"/>
    <x:col min="4" max="4" width="16" hidden="0" customWidth="1"/>
    <x:col min="5" max="5" width="24" hidden="0" customWidth="1"/>
    <x:col min="6" max="6" width="27" hidden="0" customWidth="1"/>
    <x:col min="7" max="7" width="23" hidden="0" customWidth="1"/>
    <x:col min="8" max="8" width="59" hidden="0" customWidth="1"/>
    <x:col min="9" max="9" width="20" hidden="0" customWidth="1"/>
    <x:col min="10" max="10" width="17" hidden="0" customWidth="1"/>
  </x:cols>
  <x:sheetData>
    <x:row r="1" ht="36" customHeight="1">
      <x:c r="A1" s="4" t="str">
        <x:v>SUIVI FINANCIER — notes du classeur source</x:v>
      </x:c>
      <x:c r="B1" s="4"/>
      <x:c r="C1" s="4"/>
      <x:c r="D1" s="4"/>
      <x:c r="E1" s="4"/>
      <x:c r="F1" s="4"/>
      <x:c r="G1" s="4"/>
      <x:c r="H1" s="4"/>
      <x:c r="I1" s="4"/>
      <x:c r="J1" s="4"/>
    </x:row>
    <x:row r="2" ht="27" customHeight="1">
      <x:c r="A2" s="11" t="str">
        <x:v>Les sommes indiquées ne sont pas nécessairement des transactions finalisées. Historique incomplet : aucune dépense reconstituée par supposition.</x:v>
      </x:c>
      <x:c r="B2" s="11"/>
      <x:c r="C2" s="11"/>
      <x:c r="D2" s="11"/>
      <x:c r="E2" s="11"/>
      <x:c r="F2" s="11"/>
      <x:c r="G2" s="11"/>
      <x:c r="H2" s="11"/>
      <x:c r="I2" s="11"/>
      <x:c r="J2" s="11"/>
    </x:row>
    <x:row r="4" ht="30" customHeight="1">
      <x:c r="A4" s="19" t="str">
        <x:v>Joueur</x:v>
      </x:c>
      <x:c r="B4" s="19" t="str">
        <x:v>Argent annoncé (po)</x:v>
      </x:c>
      <x:c r="C4" s="19" t="str">
        <x:v>Total déclaré (po)</x:v>
      </x:c>
      <x:c r="D4" s="19" t="str">
        <x:v>Reste recalculé (po)</x:v>
      </x:c>
      <x:c r="E4" s="19" t="str">
        <x:v>Interprétation</x:v>
      </x:c>
    </x:row>
    <x:row r="5" ht="47" customHeight="1">
      <x:c r="A5" t="str">
        <x:v>Flo</x:v>
      </x:c>
      <x:c r="B5" s="60" t="n">
        <x:v>71672</x:v>
      </x:c>
      <x:c r="C5" s="60" t="n">
        <x:v>59000</x:v>
      </x:c>
      <x:c r="D5" s="60" t="n">
        <x:f>B5-C5</x:f>
        <x:v>12672</x:v>
      </x:c>
      <x:c r="E5" s="76" t="str">
        <x:v>Source Flo!B34:C36 : calcul du reste cohérent (12 672).</x:v>
      </x:c>
    </x:row>
    <x:row r="6" ht="47" customHeight="1">
      <x:c r="A6" t="str">
        <x:v>Thibault</x:v>
      </x:c>
      <x:c r="B6" s="60"/>
      <x:c r="C6" s="60"/>
      <x:c r="D6" s="60" t="n">
        <x:v>38533</x:v>
      </x:c>
      <x:c r="E6" s="76" t="str">
        <x:v>Le seul « reste » indiqué est 38 533 po ; sous-total affiché 0 sans achats chiffrés.</x:v>
      </x:c>
    </x:row>
    <x:row r="7" ht="47" customHeight="1">
      <x:c r="A7" t="str">
        <x:v>Nono</x:v>
      </x:c>
      <x:c r="B7" s="60"/>
      <x:c r="C7" s="60"/>
      <x:c r="D7" s="60"/>
      <x:c r="E7" s="76" t="str">
        <x:v>Deux montants isolés : G25 = 40 688 ; G26 = 18 871. Signification non certaine.</x:v>
      </x:c>
    </x:row>
    <x:row r="8" ht="47" customHeight="1">
      <x:c r="A8" t="str">
        <x:v>Thaïs</x:v>
      </x:c>
      <x:c r="B8" s="60"/>
      <x:c r="C8" s="60"/>
      <x:c r="D8" s="60"/>
      <x:c r="E8" s="76" t="str">
        <x:v>La cellule TOTAL de la source (ligne 96) est cassée (#REF!) ; budgets non validés.</x:v>
      </x:c>
    </x:row>
    <x:row r="11" ht="30" customHeight="1">
      <x:c r="A11" s="19" t="str">
        <x:v>Joueur</x:v>
      </x:c>
      <x:c r="B11" s="19" t="str">
        <x:v>Objet / opération</x:v>
      </x:c>
      <x:c r="C11" s="19" t="str">
        <x:v>Min (po)</x:v>
      </x:c>
      <x:c r="D11" s="19" t="str">
        <x:v>Max (po)</x:v>
      </x:c>
      <x:c r="E11" s="19" t="str">
        <x:v>Montant source (po)</x:v>
      </x:c>
      <x:c r="F11" s="19" t="str">
        <x:v>Nature</x:v>
      </x:c>
      <x:c r="G11" s="19" t="str">
        <x:v>Paiement confirmé ?</x:v>
      </x:c>
      <x:c r="H11" s="19" t="str">
        <x:v>Remarque</x:v>
      </x:c>
      <x:c r="I11" s="19" t="str">
        <x:v>Provenance</x:v>
      </x:c>
      <x:c r="J11" s="19" t="str">
        <x:v>Accord MJ ?</x:v>
      </x:c>
    </x:row>
    <x:row r="12">
      <x:c r="A12" t="str">
        <x:v>Thaïs</x:v>
      </x:c>
      <x:c r="B12" t="str">
        <x:v>Recopier rituel Contact autre plan</x:v>
      </x:c>
      <x:c r="C12" s="60" t="n">
        <x:v>250</x:v>
      </x:c>
      <x:c r="D12" s="60" t="n">
        <x:v>250</x:v>
      </x:c>
      <x:c r="E12" s="82" t="n">
        <x:v>250</x:v>
      </x:c>
      <x:c r="F12" t="str">
        <x:v>Prix inscrit / négociation</x:v>
      </x:c>
      <x:c r="G12" t="str">
        <x:v>Non précisé</x:v>
      </x:c>
      <x:c r="H12" s="76" t="str"/>
      <x:c r="I12" t="str">
        <x:v>Thaïs!A83:F83</x:v>
      </x:c>
      <x:c r="J12" t="str">
        <x:v>À vérifier</x:v>
      </x:c>
    </x:row>
    <x:row r="13">
      <x:c r="A13" t="str">
        <x:v>Thaïs</x:v>
      </x:c>
      <x:c r="B13" t="str">
        <x:v>Sac sans fond</x:v>
      </x:c>
      <x:c r="C13" s="60" t="n">
        <x:v>101</x:v>
      </x:c>
      <x:c r="D13" s="60" t="n">
        <x:v>500</x:v>
      </x:c>
      <x:c r="E13" s="82" t="n">
        <x:v>400</x:v>
      </x:c>
      <x:c r="F13" t="str">
        <x:v>Prix inscrit / négociation</x:v>
      </x:c>
      <x:c r="G13" t="str">
        <x:v>Non précisé</x:v>
      </x:c>
      <x:c r="H13" s="76" t="str"/>
      <x:c r="I13" t="str">
        <x:v>Thaïs!A84:F84</x:v>
      </x:c>
      <x:c r="J13" t="str">
        <x:v>À vérifier</x:v>
      </x:c>
    </x:row>
    <x:row r="14">
      <x:c r="A14" t="str">
        <x:v>Thaïs</x:v>
      </x:c>
      <x:c r="B14" t="str">
        <x:v>Cape Mountebank</x:v>
      </x:c>
      <x:c r="C14" s="60" t="n">
        <x:v>501</x:v>
      </x:c>
      <x:c r="D14" s="60" t="n">
        <x:v>5000</x:v>
      </x:c>
      <x:c r="E14" s="82" t="n">
        <x:v>4000</x:v>
      </x:c>
      <x:c r="F14" t="str">
        <x:v>Prix inscrit / négociation</x:v>
      </x:c>
      <x:c r="G14" t="str">
        <x:v>Non précisé</x:v>
      </x:c>
      <x:c r="H14" s="76" t="str"/>
      <x:c r="I14" t="str">
        <x:v>Thaïs!A85:F85</x:v>
      </x:c>
      <x:c r="J14" t="str">
        <x:v>À vérifier</x:v>
      </x:c>
    </x:row>
    <x:row r="15">
      <x:c r="A15" t="str">
        <x:v>Thaïs</x:v>
      </x:c>
      <x:c r="B15" t="str">
        <x:v>Anneau de stockage de sorts</x:v>
      </x:c>
      <x:c r="C15" s="60" t="n">
        <x:v>501</x:v>
      </x:c>
      <x:c r="D15" s="60" t="n">
        <x:v>5000</x:v>
      </x:c>
      <x:c r="E15" s="82" t="n">
        <x:v>4312</x:v>
      </x:c>
      <x:c r="F15" t="str">
        <x:v>Prix inscrit / négociation</x:v>
      </x:c>
      <x:c r="G15" t="str">
        <x:v>Non précisé</x:v>
      </x:c>
      <x:c r="H15" s="76" t="str"/>
      <x:c r="I15" t="str">
        <x:v>Thaïs!A86:F86</x:v>
      </x:c>
      <x:c r="J15" t="str">
        <x:v>À vérifier</x:v>
      </x:c>
    </x:row>
    <x:row r="16">
      <x:c r="A16" t="str">
        <x:v>Thaïs</x:v>
      </x:c>
      <x:c r="B16" t="str">
        <x:v>Upgrade rod of the pact keeper</x:v>
      </x:c>
      <x:c r="C16" s="60" t="n">
        <x:v>25000</x:v>
      </x:c>
      <x:c r="D16" s="60" t="n">
        <x:v>30000</x:v>
      </x:c>
      <x:c r="E16" s="82" t="n">
        <x:v>19000</x:v>
      </x:c>
      <x:c r="F16" t="str">
        <x:v>Prix inscrit / négociation</x:v>
      </x:c>
      <x:c r="G16" t="str">
        <x:v>Non précisé</x:v>
      </x:c>
      <x:c r="H16" s="76" t="str">
        <x:v>upgrade en +2 dernier tiers | Une fois par jour, effet repos court sur effets warlock</x:v>
      </x:c>
      <x:c r="I16" t="str">
        <x:v>Thaïs!A87:F87</x:v>
      </x:c>
      <x:c r="J16" t="str">
        <x:v>À vérifier</x:v>
      </x:c>
    </x:row>
    <x:row r="17">
      <x:c r="A17" t="str">
        <x:v>Thaïs</x:v>
      </x:c>
      <x:c r="B17" t="str">
        <x:v>Enchanter armure de cuir cloutee +1 -&gt; changepeau chgt apparence 5 fois/jour</x:v>
      </x:c>
      <x:c r="C17" s="60"/>
      <x:c r="D17" s="60"/>
      <x:c r="E17" s="82" t="n">
        <x:v>2180</x:v>
      </x:c>
      <x:c r="F17" t="str">
        <x:v>Prix inscrit / négociation</x:v>
      </x:c>
      <x:c r="G17" t="str">
        <x:v>Non précisé</x:v>
      </x:c>
      <x:c r="H17" s="76" t="str"/>
      <x:c r="I17" t="str">
        <x:v>Thaïs!A88:F88</x:v>
      </x:c>
      <x:c r="J17" t="str">
        <x:v>À vérifier</x:v>
      </x:c>
    </x:row>
    <x:row r="18">
      <x:c r="A18" t="str">
        <x:v>Thaïs</x:v>
      </x:c>
      <x:c r="B18" t="str">
        <x:v>Armure +2, changepeau permanent</x:v>
      </x:c>
      <x:c r="C18" s="60"/>
      <x:c r="D18" s="60"/>
      <x:c r="E18" s="82" t="n">
        <x:v>14790</x:v>
      </x:c>
      <x:c r="F18" t="str">
        <x:v>Prix inscrit / négociation</x:v>
      </x:c>
      <x:c r="G18" t="str">
        <x:v>Non précisé</x:v>
      </x:c>
      <x:c r="H18" s="76" t="str"/>
      <x:c r="I18" t="str">
        <x:v>Thaïs!A89:F89</x:v>
      </x:c>
      <x:c r="J18" t="str">
        <x:v>À vérifier</x:v>
      </x:c>
    </x:row>
    <x:row r="19">
      <x:c r="A19" t="str">
        <x:v>Thaïs</x:v>
      </x:c>
      <x:c r="B19" t="str">
        <x:v>Tankard of sobriety</x:v>
      </x:c>
      <x:c r="C19" s="60" t="n">
        <x:v>50</x:v>
      </x:c>
      <x:c r="D19" s="60" t="n">
        <x:v>100</x:v>
      </x:c>
      <x:c r="E19" s="82" t="n">
        <x:v>100</x:v>
      </x:c>
      <x:c r="F19" t="str">
        <x:v>Prix inscrit / négociation</x:v>
      </x:c>
      <x:c r="G19" t="str">
        <x:v>Non précisé</x:v>
      </x:c>
      <x:c r="H19" s="76" t="str"/>
      <x:c r="I19" t="str">
        <x:v>Thaïs!A92:F92</x:v>
      </x:c>
      <x:c r="J19" t="str">
        <x:v>À vérifier</x:v>
      </x:c>
    </x:row>
    <x:row r="20">
      <x:c r="A20" t="str">
        <x:v>Thaïs</x:v>
      </x:c>
      <x:c r="B20" t="str">
        <x:v>Cleansing stone</x:v>
      </x:c>
      <x:c r="C20" s="60" t="n">
        <x:v>50</x:v>
      </x:c>
      <x:c r="D20" s="60" t="n">
        <x:v>100</x:v>
      </x:c>
      <x:c r="E20" s="82"/>
      <x:c r="F20" t="str">
        <x:v>Prix inscrit / négociation</x:v>
      </x:c>
      <x:c r="G20" t="str">
        <x:v>Non précisé</x:v>
      </x:c>
      <x:c r="H20" s="76" t="str"/>
      <x:c r="I20" t="str">
        <x:v>Thaïs!A93:F93</x:v>
      </x:c>
      <x:c r="J20" t="str">
        <x:v>À vérifier</x:v>
      </x:c>
    </x:row>
    <x:row r="21">
      <x:c r="A21" t="str">
        <x:v>Thaïs</x:v>
      </x:c>
      <x:c r="B21" t="str">
        <x:v>Spellshard</x:v>
      </x:c>
      <x:c r="C21" s="60" t="n">
        <x:v>50</x:v>
      </x:c>
      <x:c r="D21" s="60" t="n">
        <x:v>100</x:v>
      </x:c>
      <x:c r="E21" s="82" t="n">
        <x:v>100</x:v>
      </x:c>
      <x:c r="F21" t="str">
        <x:v>Prix inscrit / négociation</x:v>
      </x:c>
      <x:c r="G21" t="str">
        <x:v>Non précisé</x:v>
      </x:c>
      <x:c r="H21" s="76" t="str"/>
      <x:c r="I21" t="str">
        <x:v>Thaïs!A94:F94</x:v>
      </x:c>
      <x:c r="J21" t="str">
        <x:v>À vérifier</x:v>
      </x:c>
    </x:row>
    <x:row r="22">
      <x:c r="A22" t="str">
        <x:v>Thaïs</x:v>
      </x:c>
      <x:c r="B22" t="str">
        <x:v>2 potions de soin</x:v>
      </x:c>
      <x:c r="C22" s="60" t="n">
        <x:v>100</x:v>
      </x:c>
      <x:c r="D22" s="60" t="n">
        <x:v>100</x:v>
      </x:c>
      <x:c r="E22" s="82" t="n">
        <x:v>100</x:v>
      </x:c>
      <x:c r="F22" t="str">
        <x:v>Prix inscrit / négociation</x:v>
      </x:c>
      <x:c r="G22" t="str">
        <x:v>Non précisé</x:v>
      </x:c>
      <x:c r="H22" s="76" t="str"/>
      <x:c r="I22" t="str">
        <x:v>Thaïs!A95:F95</x:v>
      </x:c>
      <x:c r="J22" t="str">
        <x:v>À vérifier</x:v>
      </x:c>
    </x:row>
    <x:row r="23">
      <x:c r="A23" t="str">
        <x:v>Flo</x:v>
      </x:c>
      <x:c r="B23" t="str">
        <x:v>+3ifier l'armure</x:v>
      </x:c>
      <x:c r="C23" s="60"/>
      <x:c r="D23" s="60"/>
      <x:c r="E23" s="82" t="n">
        <x:v>17500</x:v>
      </x:c>
      <x:c r="F23" t="str">
        <x:v>Devis retenu ?</x:v>
      </x:c>
      <x:c r="G23" t="str">
        <x:v>Non précisé</x:v>
      </x:c>
      <x:c r="H23" s="76" t="str"/>
      <x:c r="I23" t="str">
        <x:v>Flo!A27:H27</x:v>
      </x:c>
      <x:c r="J23" t="str">
        <x:v>À vérifier</x:v>
      </x:c>
    </x:row>
    <x:row r="24">
      <x:c r="A24" t="str">
        <x:v>Flo</x:v>
      </x:c>
      <x:c r="B24" t="str">
        <x:v>+3ifier le bouclier</x:v>
      </x:c>
      <x:c r="C24" s="60"/>
      <x:c r="D24" s="60"/>
      <x:c r="E24" s="82" t="n">
        <x:v>0</x:v>
      </x:c>
      <x:c r="F24" t="str">
        <x:v>Devis retenu ?</x:v>
      </x:c>
      <x:c r="G24" t="str">
        <x:v>Non précisé</x:v>
      </x:c>
      <x:c r="H24" s="76" t="str"/>
      <x:c r="I24" t="str">
        <x:v>Flo!A28:H28</x:v>
      </x:c>
      <x:c r="J24" t="str">
        <x:v>À vérifier</x:v>
      </x:c>
    </x:row>
    <x:row r="25">
      <x:c r="A25" t="str">
        <x:v>Flo</x:v>
      </x:c>
      <x:c r="B25" t="str">
        <x:v>bouclier gardesort +3 (2 slots pris)</x:v>
      </x:c>
      <x:c r="C25" s="60"/>
      <x:c r="D25" s="60"/>
      <x:c r="E25" s="82" t="n">
        <x:v>41500</x:v>
      </x:c>
      <x:c r="F25" t="str">
        <x:v>Devis retenu ?</x:v>
      </x:c>
      <x:c r="G25" t="str">
        <x:v>Non précisé</x:v>
      </x:c>
      <x:c r="H25" s="76" t="str"/>
      <x:c r="I25" t="str">
        <x:v>Flo!A31:H31</x:v>
      </x:c>
      <x:c r="J25" t="str">
        <x:v>À vérifier</x:v>
      </x:c>
    </x:row>
    <x:row r="26">
      <x:c r="A26" t="str">
        <x:v>Nono</x:v>
      </x:c>
      <x:c r="B26" t="str">
        <x:v>Bâton des forets</x:v>
      </x:c>
      <x:c r="C26" s="60"/>
      <x:c r="D26" s="60"/>
      <x:c r="E26" s="82" t="n">
        <x:v>5000</x:v>
      </x:c>
      <x:c r="F26" t="str">
        <x:v>Devis MJ</x:v>
      </x:c>
      <x:c r="G26" t="str">
        <x:v>Non précisé</x:v>
      </x:c>
      <x:c r="H26" s="76" t="str">
        <x:v>5000</x:v>
      </x:c>
      <x:c r="I26" t="str">
        <x:v>Nono!B2:N2</x:v>
      </x:c>
      <x:c r="J26" t="str">
        <x:v>À vérifier</x:v>
      </x:c>
    </x:row>
    <x:row r="27">
      <x:c r="A27" t="str">
        <x:v>Nono</x:v>
      </x:c>
      <x:c r="B27" t="str">
        <x:v>Anneau soin mystique</x:v>
      </x:c>
      <x:c r="C27" s="60"/>
      <x:c r="D27" s="60"/>
      <x:c r="E27" s="82" t="n">
        <x:v>12800</x:v>
      </x:c>
      <x:c r="F27" t="str">
        <x:v>Devis MJ</x:v>
      </x:c>
      <x:c r="G27" t="str">
        <x:v>Non précisé</x:v>
      </x:c>
      <x:c r="H27" s="76" t="str">
        <x:v>max 12 800</x:v>
      </x:c>
      <x:c r="I27" t="str">
        <x:v>Nono!B4:N4</x:v>
      </x:c>
      <x:c r="J27" t="str">
        <x:v>À vérifier</x:v>
      </x:c>
    </x:row>
    <x:row r="28">
      <x:c r="A28" t="str">
        <x:v>Nono</x:v>
      </x:c>
      <x:c r="B28" t="str">
        <x:v>Anneau de stockage de sort</x:v>
      </x:c>
      <x:c r="C28" s="60"/>
      <x:c r="D28" s="60"/>
      <x:c r="E28" s="82" t="n">
        <x:v>4012</x:v>
      </x:c>
      <x:c r="F28" t="str">
        <x:v>Devis MJ</x:v>
      </x:c>
      <x:c r="G28" t="str">
        <x:v>Non précisé</x:v>
      </x:c>
      <x:c r="H28" s="76" t="str">
        <x:v>Milo : 4012</x:v>
      </x:c>
      <x:c r="I28" t="str">
        <x:v>Nono!B6:N6</x:v>
      </x:c>
      <x:c r="J28" t="str">
        <x:v>À vérifier</x:v>
      </x:c>
    </x:row>
  </x:sheetData>
  <x:mergeCells>
    <x:mergeCell ref="A1:J1"/>
    <x:mergeCell ref="A2:J2"/>
  </x:mergeCells>
  <x:dataValidations count="2">
    <x:dataValidation type="list" sqref="G12:G28">
      <x:formula1>"Non précisé,Oui,Non"</x:formula1>
    </x:dataValidation>
    <x:dataValidation type="list" sqref="J12:J28">
      <x:formula1>"À vérifier,Validé,Refusé"</x:formula1>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60" hidden="0" customWidth="1"/>
    <x:col min="3" max="3" width="93" hidden="0" customWidth="1"/>
    <x:col min="4" max="4" width="22" hidden="0" customWidth="1"/>
    <x:col min="5" max="5" width="16" hidden="0" customWidth="1"/>
    <x:col min="6" max="6" width="36" hidden="0" customWidth="1"/>
  </x:cols>
  <x:sheetData>
    <x:row r="1" ht="36" customHeight="1">
      <x:c r="A1" s="4" t="str">
        <x:v>POINTS À TRANCHER — règles &amp; demandes</x:v>
      </x:c>
      <x:c r="B1" s="4"/>
      <x:c r="C1" s="4"/>
      <x:c r="D1" s="4"/>
      <x:c r="E1" s="4"/>
      <x:c r="F1" s="4"/>
    </x:row>
    <x:row r="2" ht="27" customHeight="1">
      <x:c r="A2" s="11" t="str">
        <x:v>Séparer les choix structurants du système économique et les questions concrètes des joueurs.</x:v>
      </x:c>
      <x:c r="B2" s="11"/>
      <x:c r="C2" s="11"/>
      <x:c r="D2" s="11"/>
      <x:c r="E2" s="11"/>
      <x:c r="F2" s="11"/>
    </x:row>
    <x:row r="5" ht="30" customHeight="1">
      <x:c r="A5" s="19" t="str">
        <x:v>N°</x:v>
      </x:c>
      <x:c r="B5" s="19" t="str">
        <x:v>Décision / question</x:v>
      </x:c>
      <x:c r="C5" s="19" t="str">
        <x:v>Proposition de travail</x:v>
      </x:c>
      <x:c r="D5" s="19" t="str">
        <x:v>Statut</x:v>
      </x:c>
      <x:c r="E5" s="19" t="str">
        <x:v>Priorité</x:v>
      </x:c>
      <x:c r="F5" s="19" t="str">
        <x:v>Source / justification</x:v>
      </x:c>
    </x:row>
    <x:row r="6" ht="45" customHeight="1">
      <x:c r="A6" t="str">
        <x:v>R01</x:v>
      </x:c>
      <x:c r="B6" s="76" t="str">
        <x:v>Quel est le coût exact du bonus d’altération ?</x:v>
      </x:c>
      <x:c r="C6" s="76" t="str">
        <x:v>Conserver le barème triangulaire existant pour éviter de repricer rétroactivement les objets.</x:v>
      </x:c>
      <x:c r="D6" t="str">
        <x:v>À valider</x:v>
      </x:c>
      <x:c r="E6" t="str">
        <x:v>Haute</x:v>
      </x:c>
      <x:c r="F6" t="str">
        <x:v>Règles!A7:E17</x:v>
      </x:c>
    </x:row>
    <x:row r="7" ht="45" customHeight="1">
      <x:c r="A7" t="str">
        <x:v>R02</x:v>
      </x:c>
      <x:c r="B7" s="76" t="str">
        <x:v>Comment attribuer le niveau équivalent aux propriétés 3.5 adaptées ?</x:v>
      </x:c>
      <x:c r="C7" s="76" t="str">
        <x:v>Ne pas reprendre automatiquement Gemmaline. Équilibrer chaque propriété pour D&amp;D 5e ; Sournoise +1 et Frugale +1 sont confirmées par l'exemple source et le MJ.</x:v>
      </x:c>
      <x:c r="D7" t="str">
        <x:v>Partiellement acté</x:v>
      </x:c>
      <x:c r="E7" t="str">
        <x:v>Moyenne</x:v>
      </x:c>
      <x:c r="F7" t="str">
        <x:v>Règles!A24 ; décision MJ : Frugale +1</x:v>
      </x:c>
    </x:row>
    <x:row r="8" ht="45" customHeight="1">
      <x:c r="A8" t="str">
        <x:v>R03</x:v>
      </x:c>
      <x:c r="B8" s="76" t="str">
        <x:v>Quelle limite par objet ?</x:v>
      </x:c>
      <x:c r="C8" s="76" t="str">
        <x:v>Définir un plafond de bonus réel 5e et un plafond du niveau total ; ne pas importer le +5 / +10 de 3.5 sans adaptation.</x:v>
      </x:c>
      <x:c r="D8" t="str">
        <x:v>À définir</x:v>
      </x:c>
      <x:c r="E8" t="str">
        <x:v>Haute</x:v>
      </x:c>
      <x:c r="F8" t="str">
        <x:v>Adaptation 5e</x:v>
      </x:c>
    </x:row>
    <x:row r="9" ht="45" customHeight="1">
      <x:c r="A9" t="str">
        <x:v>R04</x:v>
      </x:c>
      <x:c r="B9" s="76" t="str">
        <x:v>Prix final : remise, risque, matériaux rares ?</x:v>
      </x:c>
      <x:c r="C9" s="76" t="str">
        <x:v>Appliquer un ajustement % au prix différentiel, et documenter la cause dans le devis.</x:v>
      </x:c>
      <x:c r="D9" t="str">
        <x:v>À valider</x:v>
      </x:c>
      <x:c r="E9" t="str">
        <x:v>Moyenne</x:v>
      </x:c>
      <x:c r="F9" t="str">
        <x:v>Règles!D19:D20</x:v>
      </x:c>
    </x:row>
    <x:row r="10" ht="45" customHeight="1">
      <x:c r="A10" t="str">
        <x:v>R05</x:v>
      </x:c>
      <x:c r="B10" s="76" t="str">
        <x:v>Forge pour objets merveilleux / consommables ?</x:v>
      </x:c>
      <x:c r="C10" s="76" t="str">
        <x:v>Garder le barème en option seulement ; utiliser l’achat à la rareté par défaut.</x:v>
      </x:c>
      <x:c r="D10" t="str">
        <x:v>À définir</x:v>
      </x:c>
      <x:c r="E10" t="str">
        <x:v>Haute</x:v>
      </x:c>
      <x:c r="F10" t="str">
        <x:v>Règles!E7 (?), 5e</x:v>
      </x:c>
    </x:row>
    <x:row r="11" ht="45" customHeight="1">
      <x:c r="A11" t="str">
        <x:v>R06</x:v>
      </x:c>
      <x:c r="B11" s="76" t="str">
        <x:v>Prix de référence des objets achetés ?</x:v>
      </x:c>
      <x:c r="C11" s="76" t="str">
        <x:v>Garder les prix négociés. Choisir l’ancienne fourchette du fichier ou la grille DMG 2024 pour les nouveaux prix.</x:v>
      </x:c>
      <x:c r="D11" t="str">
        <x:v>À définir</x:v>
      </x:c>
      <x:c r="E11" t="str">
        <x:v>Haute</x:v>
      </x:c>
      <x:c r="F11" t="str">
        <x:v>Règles!A2:C5 / D&amp;D 2024</x:v>
      </x:c>
    </x:row>
    <x:row r="12" ht="45" customHeight="1">
      <x:c r="A12" t="str">
        <x:v>R07</x:v>
      </x:c>
      <x:c r="B12" s="76" t="str">
        <x:v>Les effets 3.5 fonctionnent-ils tels quels en 5e ?</x:v>
      </x:c>
      <x:c r="C12" s="76" t="str">
        <x:v>Non. Convertir les textes, actions, DD, bonus d’attaque de base (BBA), charges et fréquence.</x:v>
      </x:c>
      <x:c r="D12" t="str">
        <x:v>À valider</x:v>
      </x:c>
      <x:c r="E12" t="str">
        <x:v>Haute</x:v>
      </x:c>
      <x:c r="F12" t="str">
        <x:v>Conversion des effets 3.5 pour D&amp;D 5e</x:v>
      </x:c>
    </x:row>
    <x:row r="13" ht="45" customHeight="1">
      <x:c r="A13" t="str">
        <x:v>R08</x:v>
      </x:c>
      <x:c r="B13" s="76" t="str">
        <x:v>Lien / harmonisation : transfert d’effet ?</x:v>
      </x:c>
      <x:c r="C13" s="76" t="str">
        <x:v>L’harmonisation ne disparaît pas automatiquement si un pouvoir est transféré sur une autre pièce.</x:v>
      </x:c>
      <x:c r="D13" t="str">
        <x:v>À définir</x:v>
      </x:c>
      <x:c r="E13" t="str">
        <x:v>Haute</x:v>
      </x:c>
      <x:c r="F13" t="str">
        <x:v>Marty!B9</x:v>
      </x:c>
    </x:row>
    <x:row r="14" ht="45" customHeight="1">
      <x:c r="A14" t="str">
        <x:v>R09</x:v>
      </x:c>
      <x:c r="B14" s="76" t="str">
        <x:v>Effets identiques / bonus au DD cumulés ?</x:v>
      </x:c>
      <x:c r="C14" s="76" t="str">
        <x:v>Trancher pour chaque combinaison ; prévenir les effets de cumul de DD, CA et bonus d’attaque.</x:v>
      </x:c>
      <x:c r="D14" t="str">
        <x:v>À définir</x:v>
      </x:c>
      <x:c r="E14" t="str">
        <x:v>Haute</x:v>
      </x:c>
      <x:c r="F14" t="str">
        <x:v>Thaïs!F2:I19, Flo!H21</x:v>
      </x:c>
    </x:row>
    <x:row r="15" ht="45" customHeight="1">
      <x:c r="A15" t="str">
        <x:v>R10</x:v>
      </x:c>
      <x:c r="B15" s="76" t="str">
        <x:v>Une amélioration garde-t-elle les effets antérieurs ?</x:v>
      </x:c>
      <x:c r="C15" s="76" t="str">
        <x:v>Par défaut oui, à condition de payer la différence de prix entre versions complètes.</x:v>
      </x:c>
      <x:c r="D15" t="str">
        <x:v>À valider</x:v>
      </x:c>
      <x:c r="E15" t="str">
        <x:v>Moyenne</x:v>
      </x:c>
      <x:c r="F15" t="str">
        <x:v>Règles!A21:A23</x:v>
      </x:c>
    </x:row>
    <x:row r="16" ht="45" customHeight="1">
      <x:c r="A16" t="str">
        <x:v>R11</x:v>
      </x:c>
      <x:c r="B16" s="76" t="str">
        <x:v>Marché magique : disponibilité et délai ?</x:v>
      </x:c>
      <x:c r="C16" s="76" t="str">
        <x:v>Définir stock, niveau de rareté accessible, artisan, matières et délai par localité.</x:v>
      </x:c>
      <x:c r="D16" t="str">
        <x:v>À définir</x:v>
      </x:c>
      <x:c r="E16" t="str">
        <x:v>Moyenne</x:v>
      </x:c>
      <x:c r="F16" t="str">
        <x:v>Économie de campagne</x:v>
      </x:c>
    </x:row>
    <x:row r="17" ht="45" customHeight="1">
      <x:c r="A17" t="str">
        <x:v>R12</x:v>
      </x:c>
      <x:c r="B17" s="76" t="str">
        <x:v>Qu’est-ce qui compte comme achat confirmé ?</x:v>
      </x:c>
      <x:c r="C17" s="76" t="str">
        <x:v>Exiger statut « Payé » ou validation explicite ; « Oui / retenu » seul n’est pas une transaction.</x:v>
      </x:c>
      <x:c r="D17" t="str">
        <x:v>À valider</x:v>
      </x:c>
      <x:c r="E17" t="str">
        <x:v>Haute</x:v>
      </x:c>
      <x:c r="F17" t="str">
        <x:v>Onglets joueurs</x:v>
      </x:c>
    </x:row>
    <x:row r="18" ht="45" customHeight="1">
      <x:c r="A18" t="str">
        <x:v>J01</x:v>
      </x:c>
      <x:c r="B18" s="76" t="str">
        <x:v>Thaïs : sceptre de garant du pacte +2/+3 et récupération d’Arcanum mystique ?</x:v>
      </x:c>
      <x:c r="C18" s="76" t="str">
        <x:v>Ne pas présumer qu’un effet de repos court recharge Arcanum mystique ; réponse spécifique MJ.</x:v>
      </x:c>
      <x:c r="D18" t="str">
        <x:v>Question ouverte</x:v>
      </x:c>
      <x:c r="E18" t="str">
        <x:v>Haute</x:v>
      </x:c>
      <x:c r="F18" t="str">
        <x:v>Thaïs!A45:B47, B3</x:v>
      </x:c>
    </x:row>
    <x:row r="19" ht="45" customHeight="1">
      <x:c r="A19" t="str">
        <x:v>J02</x:v>
      </x:c>
      <x:c r="B19" s="76" t="str">
        <x:v>Thaïs : Anneau de stockage de sorts et choix du niveau ?</x:v>
      </x:c>
      <x:c r="C19" s="76" t="str">
        <x:v>Vérifier le texte de la version d’objet utilisée et les niveaux des sorts stockés.</x:v>
      </x:c>
      <x:c r="D19" t="str">
        <x:v>Question ouverte</x:v>
      </x:c>
      <x:c r="E19" t="str">
        <x:v>Moyenne</x:v>
      </x:c>
      <x:c r="F19" t="str">
        <x:v>Thaïs!A48</x:v>
      </x:c>
    </x:row>
    <x:row r="20" ht="45" customHeight="1">
      <x:c r="A20" t="str">
        <x:v>J03</x:v>
      </x:c>
      <x:c r="B20" s="76" t="str">
        <x:v>Marty : protection contre les armes / absorption des éléments sur armure ?</x:v>
      </x:c>
      <x:c r="C20" s="76" t="str">
        <x:v>Définir activation, déclenchement, action/réaction, charges et durée ; exclure la permanence gratuite.</x:v>
      </x:c>
      <x:c r="D20" t="str">
        <x:v>Question ouverte</x:v>
      </x:c>
      <x:c r="E20" t="str">
        <x:v>Haute</x:v>
      </x:c>
      <x:c r="F20" t="str">
        <x:v>Marty!A4:D9</x:v>
      </x:c>
    </x:row>
    <x:row r="21" ht="45" customHeight="1">
      <x:c r="A21" t="str">
        <x:v>J04</x:v>
      </x:c>
      <x:c r="B21" s="76" t="str">
        <x:v>Marty : transposer les pouvoirs d’objets nécessitant harmonisation ?</x:v>
      </x:c>
      <x:c r="C21" s="76" t="str">
        <x:v>Conserver ou redéfinir explicitement l’harmonisation, ne pas la supprimer par défaut.</x:v>
      </x:c>
      <x:c r="D21" t="str">
        <x:v>Question ouverte</x:v>
      </x:c>
      <x:c r="E21" t="str">
        <x:v>Moyenne</x:v>
      </x:c>
      <x:c r="F21" t="str">
        <x:v>Marty!B9</x:v>
      </x:c>
    </x:row>
    <x:row r="22" ht="45" customHeight="1">
      <x:c r="A22" t="str">
        <x:v>J05</x:v>
      </x:c>
      <x:c r="B22" s="76" t="str">
        <x:v>Flo : bouclier gardesort +3 et coût 41 500 po ?</x:v>
      </x:c>
      <x:c r="C22" s="76" t="str">
        <x:v>Le montant ne correspond pas au calcul forge pondéré ; traiter comme devis personnalisé jusqu’à justification.</x:v>
      </x:c>
      <x:c r="D22" t="str">
        <x:v>Question ouverte</x:v>
      </x:c>
      <x:c r="E22" t="str">
        <x:v>Haute</x:v>
      </x:c>
      <x:c r="F22" t="str">
        <x:v>Flo!A31:G31</x:v>
      </x:c>
    </x:row>
    <x:row r="23" ht="45" customHeight="1">
      <x:c r="A23" t="str">
        <x:v>J06</x:v>
      </x:c>
      <x:c r="B23" s="76" t="str">
        <x:v>Nono : anneau de soin mystique et forme animale ?</x:v>
      </x:c>
      <x:c r="C23" s="76" t="str">
        <x:v>Confirmer les effets (capacités, charges, bonus +3) avant de calculer le coût.</x:v>
      </x:c>
      <x:c r="D23" t="str">
        <x:v>Question ouverte</x:v>
      </x:c>
      <x:c r="E23" t="str">
        <x:v>Moyenne</x:v>
      </x:c>
      <x:c r="F23" t="str">
        <x:v>Nono!B4:M12</x:v>
      </x:c>
    </x:row>
    <x:row r="24" ht="45" customHeight="1">
      <x:c r="A24" t="str">
        <x:v>J07</x:v>
      </x:c>
      <x:c r="B24" s="76" t="str">
        <x:v>Thaïs : total de ses achats invalide (#REF!)</x:v>
      </x:c>
      <x:c r="C24" s="76" t="str">
        <x:v>Reconstituer uniquement les transactions payées ; ne pas retenir le TOTAL source.</x:v>
      </x:c>
      <x:c r="D24" t="str">
        <x:v>À corriger</x:v>
      </x:c>
      <x:c r="E24" t="str">
        <x:v>Haute</x:v>
      </x:c>
      <x:c r="F24" t="str">
        <x:v>Thaïs!A96:F96</x:v>
      </x:c>
    </x:row>
    <x:row r="25" ht="45" customHeight="1">
      <x:c r="A25" t="str">
        <x:v>J08</x:v>
      </x:c>
      <x:c r="B25" s="76" t="str">
        <x:v>Flo : armure +3 et bouclier +3 cumulés</x:v>
      </x:c>
      <x:c r="C25" s="76" t="str">
        <x:v>Contrôler la CA globale en D&amp;D 5e et la rareté ; coût seul insuffisant pour l’équilibrage.</x:v>
      </x:c>
      <x:c r="D25" t="str">
        <x:v>À évaluer</x:v>
      </x:c>
      <x:c r="E25" t="str">
        <x:v>Haute</x:v>
      </x:c>
      <x:c r="F25" t="str">
        <x:v>Flo!A27:G31</x:v>
      </x:c>
    </x:row>
  </x:sheetData>
  <x:mergeCells>
    <x:mergeCell ref="A1:F1"/>
    <x:mergeCell ref="A2:F2"/>
  </x:mergeCells>
  <x:conditionalFormatting sqref="E6:E25">
    <x:cfRule type="expression" dxfId="1" priority="1">
      <x:formula>E6="Haute"</x:formula>
    </x:cfRule>
  </x:conditionalFormatting>
  <x:dataValidations count="2">
    <x:dataValidation type="list" sqref="D6:D25">
      <x:formula1>"À définir,À valider,Question ouverte,À évaluer,À corriger,Validé,Refusé"</x:formula1>
    </x:dataValidation>
    <x:dataValidation type="list" sqref="E6:E25">
      <x:formula1>"Haute,Moyenne,Basse"</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x:c r="B1" s="41"/>
      <x:c r="C1" s="41"/>
      <x:c r="D1" s="41"/>
      <x:c r="E1" s="41"/>
    </x:row>
    <x:row r="2" ht="24" customHeight="1">
      <x:c r="A2" s="76" t="str">
        <x:v>Rappels des prix </x:v>
      </x:c>
      <x:c r="B2" s="76" t="str">
        <x:v>Min</x:v>
      </x:c>
      <x:c r="C2" s="76" t="str">
        <x:v>Max</x:v>
      </x:c>
      <x:c r="D2" s="76"/>
      <x:c r="E2" s="76"/>
    </x:row>
    <x:row r="3" ht="24" customHeight="1">
      <x:c r="A3" s="76" t="str">
        <x:v>Non commun</x:v>
      </x:c>
      <x:c r="B3" s="76" t="n">
        <x:v>100</x:v>
      </x:c>
      <x:c r="C3" s="76" t="n">
        <x:v>500</x:v>
      </x:c>
      <x:c r="D3" s="76"/>
      <x:c r="E3" s="76"/>
    </x:row>
    <x:row r="4" ht="24" customHeight="1">
      <x:c r="A4" s="76" t="str">
        <x:v>Rare</x:v>
      </x:c>
      <x:c r="B4" s="76" t="n">
        <x:v>500</x:v>
      </x:c>
      <x:c r="C4" s="76" t="n">
        <x:v>5000</x:v>
      </x:c>
      <x:c r="D4" s="76"/>
      <x:c r="E4" s="76"/>
    </x:row>
    <x:row r="5" ht="24" customHeight="1">
      <x:c r="A5" s="76" t="str">
        <x:v>Très rare</x:v>
      </x:c>
      <x:c r="B5" s="76" t="n">
        <x:v>5000</x:v>
      </x:c>
      <x:c r="C5" s="76" t="n">
        <x:v>50000</x:v>
      </x:c>
      <x:c r="D5" s="76"/>
      <x:c r="E5" s="76"/>
    </x:row>
    <x:row r="6" ht="24" customHeight="1">
      <x:c r="A6" s="76"/>
      <x:c r="B6" s="76"/>
      <x:c r="C6" s="76"/>
      <x:c r="D6" s="76"/>
      <x:c r="E6" s="76"/>
    </x:row>
    <x:row r="7" ht="24" customHeight="1">
      <x:c r="A7" s="76" t="str">
        <x:v>Prix à la forge (arme)</x:v>
      </x:c>
      <x:c r="B7" s="76" t="str">
        <x:v>Bonus d'altération</x:v>
      </x:c>
      <x:c r="C7" s="76" t="str">
        <x:v>Nombre d'effets/sockets</x:v>
      </x:c>
      <x:c r="D7" s="76" t="str">
        <x:v>Prix pour armures et boucliers</x:v>
      </x:c>
      <x:c r="E7" s="76" t="str">
        <x:v>Prix pour objets (?)</x:v>
      </x:c>
    </x:row>
    <x:row r="8" ht="24" customHeight="1">
      <x:c r="A8" s="76" t="n">
        <x:v>1000</x:v>
      </x:c>
      <x:c r="B8" s="76" t="n">
        <x:v>1</x:v>
      </x:c>
      <x:c r="C8" s="76" t="n">
        <x:v>0</x:v>
      </x:c>
      <x:c r="D8" s="76" t="n">
        <x:v>850</x:v>
      </x:c>
      <x:c r="E8" s="76" t="n">
        <x:v>800</x:v>
      </x:c>
    </x:row>
    <x:row r="9" ht="24" customHeight="1">
      <x:c r="A9" s="76" t="n">
        <x:v>4000</x:v>
      </x:c>
      <x:c r="B9" s="76" t="n">
        <x:v>1</x:v>
      </x:c>
      <x:c r="C9" s="76" t="n">
        <x:v>1</x:v>
      </x:c>
      <x:c r="D9" s="76" t="n">
        <x:v>3400</x:v>
      </x:c>
      <x:c r="E9" s="76" t="n">
        <x:v>3200</x:v>
      </x:c>
    </x:row>
    <x:row r="10" ht="24" customHeight="1">
      <x:c r="A10" s="76" t="n">
        <x:v>9000</x:v>
      </x:c>
      <x:c r="B10" s="76" t="n">
        <x:v>2</x:v>
      </x:c>
      <x:c r="C10" s="76" t="n">
        <x:v>0</x:v>
      </x:c>
      <x:c r="D10" s="76" t="n">
        <x:v>7650</x:v>
      </x:c>
      <x:c r="E10" s="76" t="n">
        <x:v>7200</x:v>
      </x:c>
    </x:row>
    <x:row r="11" ht="24" customHeight="1">
      <x:c r="A11" s="76" t="n">
        <x:v>16000</x:v>
      </x:c>
      <x:c r="B11" s="76" t="n">
        <x:v>2</x:v>
      </x:c>
      <x:c r="C11" s="76" t="n">
        <x:v>1</x:v>
      </x:c>
      <x:c r="D11" s="76" t="n">
        <x:v>13600</x:v>
      </x:c>
      <x:c r="E11" s="76" t="n">
        <x:v>12800</x:v>
      </x:c>
    </x:row>
    <x:row r="12" ht="24" customHeight="1">
      <x:c r="A12" s="76" t="n">
        <x:v>25000</x:v>
      </x:c>
      <x:c r="B12" s="76" t="n">
        <x:v>2</x:v>
      </x:c>
      <x:c r="C12" s="76" t="n">
        <x:v>2</x:v>
      </x:c>
      <x:c r="D12" s="76" t="n">
        <x:v>21250</x:v>
      </x:c>
      <x:c r="E12" s="76" t="n">
        <x:v>20000</x:v>
      </x:c>
    </x:row>
    <x:row r="13" ht="24" customHeight="1">
      <x:c r="A13" s="76" t="n">
        <x:v>36000</x:v>
      </x:c>
      <x:c r="B13" s="76" t="n">
        <x:v>3</x:v>
      </x:c>
      <x:c r="C13" s="76" t="n">
        <x:v>0</x:v>
      </x:c>
      <x:c r="D13" s="76" t="n">
        <x:v>30600</x:v>
      </x:c>
      <x:c r="E13" s="76" t="n">
        <x:v>28800</x:v>
      </x:c>
    </x:row>
    <x:row r="14" ht="24" customHeight="1">
      <x:c r="A14" s="76" t="n">
        <x:v>49000</x:v>
      </x:c>
      <x:c r="B14" s="76" t="n">
        <x:v>3</x:v>
      </x:c>
      <x:c r="C14" s="76" t="n">
        <x:v>1</x:v>
      </x:c>
      <x:c r="D14" s="76" t="n">
        <x:v>41650</x:v>
      </x:c>
      <x:c r="E14" s="76" t="n">
        <x:v>39200</x:v>
      </x:c>
    </x:row>
    <x:row r="15" ht="24" customHeight="1">
      <x:c r="A15" s="76" t="n">
        <x:v>64000</x:v>
      </x:c>
      <x:c r="B15" s="76" t="n">
        <x:v>3</x:v>
      </x:c>
      <x:c r="C15" s="76" t="n">
        <x:v>2</x:v>
      </x:c>
      <x:c r="D15" s="76" t="n">
        <x:v>54400</x:v>
      </x:c>
      <x:c r="E15" s="76" t="n">
        <x:v>51200</x:v>
      </x:c>
    </x:row>
    <x:row r="16" ht="24" customHeight="1">
      <x:c r="A16" s="76" t="n">
        <x:v>81000</x:v>
      </x:c>
      <x:c r="B16" s="76" t="n">
        <x:v>3</x:v>
      </x:c>
      <x:c r="C16" s="76" t="n">
        <x:v>3</x:v>
      </x:c>
      <x:c r="D16" s="76" t="n">
        <x:v>68850</x:v>
      </x:c>
      <x:c r="E16" s="76" t="n">
        <x:v>64800</x:v>
      </x:c>
    </x:row>
    <x:row r="17" ht="24" customHeight="1">
      <x:c r="A17" s="76" t="n">
        <x:v>100000</x:v>
      </x:c>
      <x:c r="B17" s="76" t="n">
        <x:v>4</x:v>
      </x:c>
      <x:c r="C17" s="76" t="n">
        <x:v>0</x:v>
      </x:c>
      <x:c r="D17" s="76" t="n">
        <x:v>85000</x:v>
      </x:c>
      <x:c r="E17" s="76" t="n">
        <x:v>80000</x:v>
      </x:c>
    </x:row>
    <x:row r="18" ht="24" customHeight="1">
      <x:c r="A18" s="76"/>
      <x:c r="B18" s="76"/>
      <x:c r="C18" s="76"/>
      <x:c r="D18" s="76"/>
      <x:c r="E18" s="76"/>
    </x:row>
    <x:row r="19" ht="24" customHeight="1">
      <x:c r="A19" s="76" t="str">
        <x:v>Exemples</x:v>
      </x:c>
      <x:c r="B19" s="76"/>
      <x:c r="C19" s="76"/>
      <x:c r="D19" s="76" t="str">
        <x:v>Attention, les prix à payer pourront être différents : application de pourcentage plus ou moins random</x:v>
      </x:c>
      <x:c r="E19" s="76"/>
    </x:row>
    <x:row r="20" ht="24" customHeight="1">
      <x:c r="A20" s="76" t="str">
        <x:v>Passer d'une arme à une arme +1</x:v>
      </x:c>
      <x:c r="B20" s="76" t="n">
        <x:v>1000</x:v>
      </x:c>
      <x:c r="C20" s="76"/>
      <x:c r="D20" s="76" t="str">
        <x:v>Explication du côté "aléatoire" des prix : cela provient des ingrédients utilisés, du nombre d'essai afin de trouver la bonne recette,</x:v>
      </x:c>
      <x:c r="E20" s="76"/>
    </x:row>
    <x:row r="21" ht="24" customHeight="1">
      <x:c r="A21" s="76" t="str">
        <x:v>Ajouter un effet à une arme +1</x:v>
      </x:c>
      <x:c r="B21" s="76" t="n">
        <x:v>3000</x:v>
      </x:c>
      <x:c r="C21" s="76" t="str">
        <x:v>Explication : 4000 - 1000</x:v>
      </x:c>
      <x:c r="D21" s="76"/>
      <x:c r="E21" s="76"/>
    </x:row>
    <x:row r="22" ht="24" customHeight="1">
      <x:c r="A22" s="76" t="str">
        <x:v>Passer de +1 à +2</x:v>
      </x:c>
      <x:c r="B22" s="76" t="n">
        <x:v>8000</x:v>
      </x:c>
      <x:c r="C22" s="76"/>
      <x:c r="D22" s="76"/>
      <x:c r="E22" s="76"/>
    </x:row>
    <x:row r="23" ht="24" customHeight="1">
      <x:c r="A23" s="76" t="str">
        <x:v>Passer de +1 de feu à +2 de feu</x:v>
      </x:c>
      <x:c r="B23" s="76" t="n">
        <x:v>12000</x:v>
      </x:c>
      <x:c r="C23" s="76"/>
      <x:c r="D23" s="76"/>
      <x:c r="E23" s="76"/>
    </x:row>
    <x:row r="24" ht="24" customHeight="1">
      <x:c r="A24" s="76" t="str">
        <x:v>Créer une arme +2 sournois frugale</x:v>
      </x:c>
      <x:c r="B24" s="76" t="n">
        <x:v>25000</x:v>
      </x:c>
      <x:c r="C24" s="76"/>
      <x:c r="D24" s="76"/>
      <x:c r="E24" s="76"/>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nom</x:v>
      </x:c>
      <x:c r="B1" s="41" t="str">
        <x:v>lien?</x:v>
      </x:c>
      <x:c r="C1" s="41" t="str">
        <x:v>Valeur</x:v>
      </x:c>
      <x:c r="D1" s="41" t="str">
        <x:v>source</x:v>
      </x:c>
      <x:c r="E1" s="41" t="str">
        <x:v>retenu?</x:v>
      </x:c>
      <x:c r="F1" s="41" t="str">
        <x:v>Prix</x:v>
      </x:c>
      <x:c r="G1" s="41"/>
      <x:c r="H1" s="41"/>
      <x:c r="I1" s="41"/>
      <x:c r="J1" s="41"/>
      <x:c r="K1" s="41"/>
      <x:c r="L1" s="41"/>
      <x:c r="M1" s="41"/>
      <x:c r="N1" s="41"/>
    </x:row>
    <x:row r="2" ht="24" customHeight="1">
      <x:c r="A2" s="76" t="str">
        <x:v>bourse de l'opossum</x:v>
      </x:c>
      <x:c r="B2" s="76" t="str">
        <x:v>non?</x:v>
      </x:c>
      <x:c r="C2" s="76"/>
      <x:c r="D2" s="76" t="str">
        <x:v>gemmaline</x:v>
      </x:c>
      <x:c r="E2" s="76" t="str">
        <x:v>oui</x:v>
      </x:c>
      <x:c r="F2" s="76"/>
      <x:c r="G2" s="76"/>
      <x:c r="H2" s="76"/>
      <x:c r="I2" s="76"/>
      <x:c r="J2" s="76"/>
      <x:c r="K2" s="76"/>
      <x:c r="L2" s="76"/>
      <x:c r="M2" s="76"/>
      <x:c r="N2" s="76"/>
    </x:row>
    <x:row r="3" ht="24" customHeight="1">
      <x:c r="A3" s="76" t="str">
        <x:v>cape de l'assassin  </x:v>
      </x:c>
      <x:c r="B3" s="76" t="str">
        <x:v>oui?</x:v>
      </x:c>
      <x:c r="C3" s="76"/>
      <x:c r="D3" s="76" t="str">
        <x:v>gemmaline</x:v>
      </x:c>
      <x:c r="E3" s="76"/>
      <x:c r="F3" s="76"/>
      <x:c r="G3" s="76"/>
      <x:c r="H3" s="76"/>
      <x:c r="I3" s="76"/>
      <x:c r="J3" s="76"/>
      <x:c r="K3" s="76"/>
      <x:c r="L3" s="76"/>
      <x:c r="M3" s="76"/>
      <x:c r="N3" s="76"/>
    </x:row>
    <x:row r="4" ht="24" customHeight="1">
      <x:c r="A4" s="76" t="str">
        <x:v>gant de cambrioleur</x:v>
      </x:c>
      <x:c r="B4" s="76" t="str">
        <x:v>non</x:v>
      </x:c>
      <x:c r="C4" s="76"/>
      <x:c r="D4" s="76" t="str">
        <x:v>aidedd</x:v>
      </x:c>
      <x:c r="E4" s="76" t="str">
        <x:v>oui</x:v>
      </x:c>
      <x:c r="F4" s="76"/>
      <x:c r="G4" s="76"/>
      <x:c r="H4" s="76"/>
      <x:c r="I4" s="76"/>
      <x:c r="J4" s="76"/>
      <x:c r="K4" s="76"/>
      <x:c r="L4" s="76"/>
      <x:c r="M4" s="76"/>
      <x:c r="N4" s="76"/>
    </x:row>
    <x:row r="5" ht="24" customHeight="1">
      <x:c r="A5" s="76" t="str">
        <x:v>clef squelette</x:v>
      </x:c>
      <x:c r="B5" s="76" t="str">
        <x:v>non?</x:v>
      </x:c>
      <x:c r="C5" s="76"/>
      <x:c r="D5" s="76" t="str">
        <x:v>gemmaline</x:v>
      </x:c>
      <x:c r="E5" s="76" t="str">
        <x:v>nope</x:v>
      </x:c>
      <x:c r="F5" s="76"/>
      <x:c r="G5" s="76"/>
      <x:c r="H5" s="76"/>
      <x:c r="I5" s="76"/>
      <x:c r="J5" s="76"/>
      <x:c r="K5" s="76"/>
      <x:c r="L5" s="76"/>
      <x:c r="M5" s="76"/>
      <x:c r="N5" s="76"/>
    </x:row>
    <x:row r="6" ht="24" customHeight="1">
      <x:c r="A6" s="76" t="str">
        <x:v>gant de dextérité</x:v>
      </x:c>
      <x:c r="B6" s="76" t="str">
        <x:v>oui?</x:v>
      </x:c>
      <x:c r="C6" s="76"/>
      <x:c r="D6" s="76" t="str">
        <x:v>gemmaline</x:v>
      </x:c>
      <x:c r="E6" s="76" t="str">
        <x:v>non</x:v>
      </x:c>
      <x:c r="F6" s="76"/>
      <x:c r="G6" s="76"/>
      <x:c r="H6" s="76"/>
      <x:c r="I6" s="76"/>
      <x:c r="J6" s="76"/>
      <x:c r="K6" s="76"/>
      <x:c r="L6" s="76"/>
      <x:c r="M6" s="76"/>
      <x:c r="N6" s="76"/>
    </x:row>
    <x:row r="7" ht="24" customHeight="1">
      <x:c r="A7" s="76" t="str">
        <x:v>armure de cuir cloutée +1 d'esquive</x:v>
      </x:c>
      <x:c r="B7" s="76" t="str">
        <x:v>oui?</x:v>
      </x:c>
      <x:c r="C7" s="76"/>
      <x:c r="D7" s="76" t="str">
        <x:v>gemmaline</x:v>
      </x:c>
      <x:c r="E7" s="76" t="str">
        <x:v>non</x:v>
      </x:c>
      <x:c r="F7" s="76"/>
      <x:c r="G7" s="76"/>
      <x:c r="H7" s="76"/>
      <x:c r="I7" s="76"/>
      <x:c r="J7" s="76"/>
      <x:c r="K7" s="76"/>
      <x:c r="L7" s="76"/>
      <x:c r="M7" s="76"/>
      <x:c r="N7" s="76"/>
    </x:row>
    <x:row r="8" ht="24" customHeight="1">
      <x:c r="A8" s="76" t="str">
        <x:v>Amulette Antidote</x:v>
      </x:c>
      <x:c r="B8" s="76" t="str">
        <x:v>non</x:v>
      </x:c>
      <x:c r="C8" s="76"/>
      <x:c r="D8" s="76" t="str">
        <x:v>aidedd</x:v>
      </x:c>
      <x:c r="E8" s="76"/>
      <x:c r="F8" s="76"/>
      <x:c r="G8" s="76"/>
      <x:c r="H8" s="76"/>
      <x:c r="I8" s="76"/>
      <x:c r="J8" s="76"/>
      <x:c r="K8" s="76"/>
      <x:c r="L8" s="76"/>
      <x:c r="M8" s="76"/>
      <x:c r="N8" s="76"/>
    </x:row>
    <x:row r="9" ht="24" customHeight="1">
      <x:c r="A9" s="76" t="str">
        <x:v>bracelet du meurtrier</x:v>
      </x:c>
      <x:c r="B9" s="76" t="str">
        <x:v>oui?</x:v>
      </x:c>
      <x:c r="C9" s="76"/>
      <x:c r="D9" s="76" t="str">
        <x:v>gemmaline</x:v>
      </x:c>
      <x:c r="E9" s="76"/>
      <x:c r="F9" s="76"/>
      <x:c r="G9" s="76"/>
      <x:c r="H9" s="76"/>
      <x:c r="I9" s="76"/>
      <x:c r="J9" s="76"/>
      <x:c r="K9" s="76"/>
      <x:c r="L9" s="76"/>
      <x:c r="M9" s="76"/>
      <x:c r="N9" s="76"/>
    </x:row>
    <x:row r="10" ht="24" customHeight="1">
      <x:c r="A10" s="76" t="str">
        <x:v>Arc sournois frugal +2</x:v>
      </x:c>
      <x:c r="B10" s="76" t="str">
        <x:v>oui?</x:v>
      </x:c>
      <x:c r="C10" s="76"/>
      <x:c r="D10" s="76" t="str">
        <x:v>gemmaline</x:v>
      </x:c>
      <x:c r="E10" s="76" t="str">
        <x:v>oui</x:v>
      </x:c>
      <x:c r="F10" s="76"/>
      <x:c r="G10" s="76"/>
      <x:c r="H10" s="76"/>
      <x:c r="I10" s="76"/>
      <x:c r="J10" s="76"/>
      <x:c r="K10" s="76"/>
      <x:c r="L10" s="76"/>
      <x:c r="M10" s="76"/>
      <x:c r="N10" s="76"/>
    </x:row>
    <x:row r="11" ht="24" customHeight="1">
      <x:c r="A11" s="76" t="str">
        <x:v>10 flèches d'argent +1 incassable</x:v>
      </x:c>
      <x:c r="B11" s="76" t="str">
        <x:v>non</x:v>
      </x:c>
      <x:c r="C11" s="76"/>
      <x:c r="D11" s="76" t="str">
        <x:v>custom</x:v>
      </x:c>
      <x:c r="E11" s="76" t="str">
        <x:v>non</x:v>
      </x:c>
      <x:c r="F11" s="76"/>
      <x:c r="G11" s="76"/>
      <x:c r="H11" s="76"/>
      <x:c r="I11" s="76"/>
      <x:c r="J11" s="76"/>
      <x:c r="K11" s="76"/>
      <x:c r="L11" s="76"/>
      <x:c r="M11" s="76"/>
      <x:c r="N11" s="76"/>
    </x:row>
    <x:row r="12" ht="24" customHeight="1">
      <x:c r="A12" s="76" t="str">
        <x:v>Carquois d'Elhonna</x:v>
      </x:c>
      <x:c r="B12" s="76" t="str">
        <x:v>non</x:v>
      </x:c>
      <x:c r="C12" s="76"/>
      <x:c r="D12" s="76" t="str">
        <x:v>aidedd</x:v>
      </x:c>
      <x:c r="E12" s="76" t="str">
        <x:v>oui</x:v>
      </x:c>
      <x:c r="F12" s="76"/>
      <x:c r="G12" s="76"/>
      <x:c r="H12" s="76"/>
      <x:c r="I12" s="76"/>
      <x:c r="J12" s="76"/>
      <x:c r="K12" s="76"/>
      <x:c r="L12" s="76"/>
      <x:c r="M12" s="76"/>
      <x:c r="N12" s="76"/>
    </x:row>
    <x:row r="13" ht="24" customHeight="1">
      <x:c r="A13" s="76" t="str">
        <x:v>Colle universelle</x:v>
      </x:c>
      <x:c r="B13" s="76" t="str">
        <x:v>non</x:v>
      </x:c>
      <x:c r="C13" s="76"/>
      <x:c r="D13" s="76"/>
      <x:c r="E13" s="76"/>
      <x:c r="F13" s="76"/>
      <x:c r="G13" s="76"/>
      <x:c r="H13" s="76"/>
      <x:c r="I13" s="76"/>
      <x:c r="J13" s="76"/>
      <x:c r="K13" s="76"/>
      <x:c r="L13" s="76"/>
      <x:c r="M13" s="76"/>
      <x:c r="N13" s="76"/>
    </x:row>
    <x:row r="14" ht="24" customHeight="1">
      <x:c r="A14" s="76" t="str">
        <x:v>menottes dimensionneles</x:v>
      </x:c>
      <x:c r="B14" s="76" t="str">
        <x:v>non</x:v>
      </x:c>
      <x:c r="C14" s="76"/>
      <x:c r="D14" s="76" t="str">
        <x:v>aidedd</x:v>
      </x:c>
      <x:c r="E14" s="76"/>
      <x:c r="F14" s="76"/>
      <x:c r="G14" s="76"/>
      <x:c r="H14" s="76"/>
      <x:c r="I14" s="76"/>
      <x:c r="J14" s="76"/>
      <x:c r="K14" s="76"/>
      <x:c r="L14" s="76"/>
      <x:c r="M14" s="76"/>
      <x:c r="N14" s="76"/>
    </x:row>
    <x:row r="15" ht="24" customHeight="1">
      <x:c r="A15" s="76" t="str">
        <x:v>breast plate +2 de souffle glamour </x:v>
      </x:c>
      <x:c r="B15" s="76" t="str">
        <x:v>non</x:v>
      </x:c>
      <x:c r="C15" s="76"/>
      <x:c r="D15" s="76"/>
      <x:c r="E15" s="76" t="str">
        <x:v>oui</x:v>
      </x:c>
      <x:c r="F15" s="76"/>
      <x:c r="G15" s="76"/>
      <x:c r="H15" s="76"/>
      <x:c r="I15" s="76"/>
      <x:c r="J15" s="76"/>
      <x:c r="K15" s="76"/>
      <x:c r="L15" s="76"/>
      <x:c r="M15" s="76"/>
      <x:c r="N15" s="76"/>
    </x:row>
    <x:row r="16" ht="24" customHeight="1">
      <x:c r="A16" s="76" t="str">
        <x:v>anneau +1</x:v>
      </x:c>
      <x:c r="B16" s="76" t="str">
        <x:v>oui?</x:v>
      </x:c>
      <x:c r="C16" s="76"/>
      <x:c r="D16" s="76"/>
      <x:c r="E16" s="76" t="str">
        <x:v>oui</x:v>
      </x:c>
      <x:c r="F16" s="76"/>
      <x:c r="G16" s="76"/>
      <x:c r="H16" s="76"/>
      <x:c r="I16" s="76"/>
      <x:c r="J16" s="76"/>
      <x:c r="K16" s="76"/>
      <x:c r="L16" s="76"/>
      <x:c r="M16" s="76"/>
      <x:c r="N16" s="76"/>
    </x:row>
    <x:row r="17" ht="24" customHeight="1">
      <x:c r="A17" s="76" t="str">
        <x:v>poudre de disparition *5</x:v>
      </x:c>
      <x:c r="B17" s="76" t="str">
        <x:v>non</x:v>
      </x:c>
      <x:c r="C17" s="76"/>
      <x:c r="D17" s="76"/>
      <x:c r="E17" s="76" t="str">
        <x:v>oui</x:v>
      </x:c>
      <x:c r="F17" s="76"/>
      <x:c r="G17" s="76"/>
      <x:c r="H17" s="76"/>
      <x:c r="I17" s="76"/>
      <x:c r="J17" s="76"/>
      <x:c r="K17" s="76"/>
      <x:c r="L17" s="76"/>
      <x:c r="M17" s="76"/>
      <x:c r="N17" s="76"/>
    </x:row>
    <x:row r="18" ht="24" customHeight="1">
      <x:c r="A18" s="76" t="str">
        <x:v>amulette antidote</x:v>
      </x:c>
      <x:c r="B18" s="76" t="str">
        <x:v>non</x:v>
      </x:c>
      <x:c r="C18" s="76"/>
      <x:c r="D18" s="76"/>
      <x:c r="E18" s="76" t="str">
        <x:v>oui</x:v>
      </x:c>
      <x:c r="F18" s="76"/>
      <x:c r="G18" s="76"/>
      <x:c r="H18" s="76"/>
      <x:c r="I18" s="76"/>
      <x:c r="J18" s="76"/>
      <x:c r="K18" s="76"/>
      <x:c r="L18" s="76"/>
      <x:c r="M18" s="76"/>
      <x:c r="N18" s="76"/>
    </x:row>
    <x:row r="19" ht="24" customHeight="1">
      <x:c r="A19" s="76" t="str">
        <x:v>cube de force</x:v>
      </x:c>
      <x:c r="B19" s="76" t="str">
        <x:v>oui</x:v>
      </x:c>
      <x:c r="C19" s="76"/>
      <x:c r="D19" s="76"/>
      <x:c r="E19" s="76" t="str">
        <x:v>oui</x:v>
      </x:c>
      <x:c r="F19" s="76"/>
      <x:c r="G19" s="76"/>
      <x:c r="H19" s="76"/>
      <x:c r="I19" s="76"/>
      <x:c r="J19" s="76"/>
      <x:c r="K19" s="76"/>
      <x:c r="L19" s="76"/>
      <x:c r="M19" s="76"/>
      <x:c r="N19" s="76"/>
    </x:row>
    <x:row r="20" ht="24" customHeight="1">
      <x:c r="A20" s="76" t="str">
        <x:v> bottes elfiques</x:v>
      </x:c>
      <x:c r="B20" s="76" t="str">
        <x:v>non</x:v>
      </x:c>
      <x:c r="C20" s="76"/>
      <x:c r="D20" s="76"/>
      <x:c r="E20" s="76" t="str">
        <x:v>oui</x:v>
      </x:c>
      <x:c r="F20" s="76"/>
      <x:c r="G20" s="76"/>
      <x:c r="H20" s="76"/>
      <x:c r="I20" s="76" t="str">
        <x:v>sous Total</x:v>
      </x:c>
      <x:c r="J20" s="76" t="n">
        <x:v>0</x:v>
      </x:c>
      <x:c r="K20" s="76"/>
      <x:c r="L20" s="76"/>
      <x:c r="M20" s="76"/>
      <x:c r="N20" s="76"/>
    </x:row>
    <x:row r="21" ht="24" customHeight="1">
      <x:c r="A21" s="76" t="str">
        <x:v>bouteille fumigene</x:v>
      </x:c>
      <x:c r="B21" s="76" t="str">
        <x:v>non</x:v>
      </x:c>
      <x:c r="C21" s="76"/>
      <x:c r="D21" s="76"/>
      <x:c r="E21" s="76" t="str">
        <x:v>oui</x:v>
      </x:c>
      <x:c r="F21" s="76"/>
      <x:c r="G21" s="76"/>
      <x:c r="H21" s="76" t="str">
        <x:v>Ventes</x:v>
      </x:c>
      <x:c r="I21" s="76"/>
      <x:c r="J21" s="76"/>
      <x:c r="K21" s="76"/>
      <x:c r="L21" s="76"/>
      <x:c r="M21" s="76"/>
      <x:c r="N21" s="76"/>
    </x:row>
    <x:row r="22" ht="24" customHeight="1">
      <x:c r="A22" s="76" t="str">
        <x:v>flèche incassable x20</x:v>
      </x:c>
      <x:c r="B22" s="76" t="str">
        <x:v>non</x:v>
      </x:c>
      <x:c r="C22" s="76"/>
      <x:c r="D22" s="76"/>
      <x:c r="E22" s="76" t="str">
        <x:v>oui</x:v>
      </x:c>
      <x:c r="F22" s="76"/>
      <x:c r="G22" s="76"/>
      <x:c r="H22" s="76"/>
      <x:c r="I22" s="76"/>
      <x:c r="J22" s="76"/>
      <x:c r="K22" s="76"/>
      <x:c r="L22" s="76"/>
      <x:c r="M22" s="76"/>
      <x:c r="N22" s="76"/>
    </x:row>
    <x:row r="23" ht="24" customHeight="1">
      <x:c r="A23" s="76" t="str">
        <x:v>flèche percutantes x10</x:v>
      </x:c>
      <x:c r="B23" s="76" t="str">
        <x:v>non</x:v>
      </x:c>
      <x:c r="C23" s="76"/>
      <x:c r="D23" s="76"/>
      <x:c r="E23" s="76"/>
      <x:c r="F23" s="76"/>
      <x:c r="G23" s="76"/>
      <x:c r="H23" s="76"/>
      <x:c r="I23" s="76"/>
      <x:c r="J23" s="76"/>
      <x:c r="K23" s="76"/>
      <x:c r="L23" s="76"/>
      <x:c r="M23" s="76"/>
      <x:c r="N23" s="76"/>
    </x:row>
    <x:row r="24" ht="24" customHeight="1">
      <x:c r="A24" s="76"/>
      <x:c r="B24" s="76"/>
      <x:c r="C24" s="76"/>
      <x:c r="D24" s="76"/>
      <x:c r="E24" s="76"/>
      <x:c r="F24" s="76"/>
      <x:c r="G24" s="76"/>
      <x:c r="H24" s="76"/>
      <x:c r="I24" s="76"/>
      <x:c r="J24" s="76"/>
      <x:c r="K24" s="76"/>
      <x:c r="L24" s="76"/>
      <x:c r="M24" s="76"/>
      <x:c r="N24" s="76"/>
    </x:row>
    <x:row r="25" ht="24" customHeight="1">
      <x:c r="A25" s="76"/>
      <x:c r="B25" s="76"/>
      <x:c r="C25" s="76"/>
      <x:c r="D25" s="76"/>
      <x:c r="E25" s="76"/>
      <x:c r="F25" s="76"/>
      <x:c r="G25" s="76"/>
      <x:c r="H25" s="76"/>
      <x:c r="I25" s="76"/>
      <x:c r="J25" s="76"/>
      <x:c r="K25" s="76"/>
      <x:c r="L25" s="76"/>
      <x:c r="M25" s="76"/>
      <x:c r="N25" s="76"/>
    </x:row>
    <x:row r="26" ht="24" customHeight="1">
      <x:c r="A26" s="76"/>
      <x:c r="B26" s="76"/>
      <x:c r="C26" s="76"/>
      <x:c r="D26" s="76"/>
      <x:c r="E26" s="76"/>
      <x:c r="F26" s="76"/>
      <x:c r="G26" s="76"/>
      <x:c r="H26" s="76"/>
      <x:c r="I26" s="76"/>
      <x:c r="J26" s="76"/>
      <x:c r="K26" s="76"/>
      <x:c r="L26" s="76"/>
      <x:c r="M26" s="76"/>
      <x:c r="N26" s="76"/>
    </x:row>
    <x:row r="27" ht="24" customHeight="1">
      <x:c r="A27" s="76"/>
      <x:c r="B27" s="76"/>
      <x:c r="C27" s="76"/>
      <x:c r="D27" s="76"/>
      <x:c r="E27" s="76"/>
      <x:c r="F27" s="76"/>
      <x:c r="G27" s="76"/>
      <x:c r="H27" s="76"/>
      <x:c r="I27" s="76"/>
      <x:c r="J27" s="76"/>
      <x:c r="K27" s="76"/>
      <x:c r="L27" s="76"/>
      <x:c r="M27" s="76"/>
      <x:c r="N27" s="76"/>
    </x:row>
    <x:row r="28" ht="24" customHeight="1">
      <x:c r="A28" s="76"/>
      <x:c r="B28" s="76"/>
      <x:c r="C28" s="76"/>
      <x:c r="D28" s="76"/>
      <x:c r="E28" s="76"/>
      <x:c r="F28" s="76"/>
      <x:c r="G28" s="76"/>
      <x:c r="H28" s="76"/>
      <x:c r="I28" s="76"/>
      <x:c r="J28" s="76"/>
      <x:c r="K28" s="76"/>
      <x:c r="L28" s="76"/>
      <x:c r="M28" s="76"/>
      <x:c r="N28" s="76"/>
    </x:row>
    <x:row r="29" ht="24" customHeight="1">
      <x:c r="A29" s="76"/>
      <x:c r="B29" s="76"/>
      <x:c r="C29" s="76"/>
      <x:c r="D29" s="76"/>
      <x:c r="E29" s="76"/>
      <x:c r="F29" s="76"/>
      <x:c r="G29" s="76"/>
      <x:c r="H29" s="76"/>
      <x:c r="I29" s="76"/>
      <x:c r="J29" s="76"/>
      <x:c r="K29" s="76"/>
      <x:c r="L29" s="76"/>
      <x:c r="M29" s="76"/>
      <x:c r="N29" s="76"/>
    </x:row>
    <x:row r="30" ht="24" customHeight="1">
      <x:c r="A30" s="76"/>
      <x:c r="B30" s="76"/>
      <x:c r="C30" s="76"/>
      <x:c r="D30" s="76"/>
      <x:c r="E30" s="76"/>
      <x:c r="F30" s="76"/>
      <x:c r="G30" s="76"/>
      <x:c r="H30" s="76"/>
      <x:c r="I30" s="76"/>
      <x:c r="J30" s="76"/>
      <x:c r="K30" s="76"/>
      <x:c r="L30" s="76"/>
      <x:c r="M30" s="76"/>
      <x:c r="N30" s="76"/>
    </x:row>
    <x:row r="31" ht="24" customHeight="1">
      <x:c r="A31" s="76"/>
      <x:c r="B31" s="76"/>
      <x:c r="C31" s="76"/>
      <x:c r="D31" s="76"/>
      <x:c r="E31" s="76"/>
      <x:c r="F31" s="76"/>
      <x:c r="G31" s="76"/>
      <x:c r="H31" s="76"/>
      <x:c r="I31" s="76"/>
      <x:c r="J31" s="76"/>
      <x:c r="K31" s="76"/>
      <x:c r="L31" s="76"/>
      <x:c r="M31" s="76"/>
      <x:c r="N31" s="76"/>
    </x:row>
    <x:row r="32" ht="24" customHeight="1">
      <x:c r="A32" s="76"/>
      <x:c r="B32" s="76"/>
      <x:c r="C32" s="76"/>
      <x:c r="D32" s="76"/>
      <x:c r="E32" s="76"/>
      <x:c r="F32" s="76"/>
      <x:c r="G32" s="76"/>
      <x:c r="H32" s="76"/>
      <x:c r="I32" s="76"/>
      <x:c r="J32" s="76"/>
      <x:c r="K32" s="76"/>
      <x:c r="L32" s="76"/>
      <x:c r="M32" s="76"/>
      <x:c r="N32" s="76"/>
    </x:row>
    <x:row r="33" ht="24" customHeight="1">
      <x:c r="A33" s="76"/>
      <x:c r="B33" s="76"/>
      <x:c r="C33" s="76"/>
      <x:c r="D33" s="76"/>
      <x:c r="E33" s="76"/>
      <x:c r="F33" s="76"/>
      <x:c r="G33" s="76"/>
      <x:c r="H33" s="76"/>
      <x:c r="I33" s="76" t="str">
        <x:v>total</x:v>
      </x:c>
      <x:c r="J33" s="76" t="n">
        <x:v>0</x:v>
      </x:c>
      <x:c r="K33" s="76"/>
      <x:c r="L33" s="76" t="str">
        <x:v>reste</x:v>
      </x:c>
      <x:c r="M33" s="76" t="n">
        <x:v>38533</x:v>
      </x:c>
      <x:c r="N33" s="76" t="str">
        <x:v>po</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24" customHeight="1">
      <x:c r="A1" s="41" t="str">
        <x:v>POUR MOI - MJ PEUT IGNORER</x:v>
      </x:c>
      <x:c r="B1" s="41"/>
      <x:c r="C1" s="41"/>
      <x:c r="D1" s="41" t="str">
        <x:v>Prix</x:v>
      </x:c>
      <x:c r="E1" s="41"/>
      <x:c r="F1" s="41"/>
      <x:c r="G1" s="41"/>
      <x:c r="H1" s="41"/>
      <x:c r="I1" s="41"/>
    </x:row>
    <x:row r="2" ht="24" customHeight="1">
      <x:c r="A2" s="76" t="str">
        <x:v>Sceptre de garant du pacte</x:v>
      </x:c>
      <x:c r="B2" s="76" t="str">
        <x:v>- très rare (bonus +3)</x:v>
      </x:c>
      <x:c r="C2" s="76"/>
      <x:c r="D2" s="76"/>
      <x:c r="E2" s="76"/>
      <x:c r="F2" s="76" t="str">
        <x:v>BUILD NOW</x:v>
      </x:c>
      <x:c r="G2" s="76" t="str">
        <x:v>BUILD robe archmagi+amulette sphère</x:v>
      </x:c>
      <x:c r="H2" s="76" t="str">
        <x:v>BUILD robe archmagi+amulette sphère+staff of power</x:v>
      </x:c>
      <x:c r="I2" s="76" t="str">
        <x:v>BUILD robe archmagi+amulette sphère+rod pact keeper</x:v>
      </x:c>
    </x:row>
    <x:row r="3" ht="24" customHeight="1">
      <x:c r="A3" s="76"/>
      <x:c r="B3" s="76" t="str">
        <x:v>- permet de récupérer arcanum mystique ?</x:v>
      </x:c>
      <x:c r="C3" s="76"/>
      <x:c r="D3" s="76"/>
      <x:c r="E3" s="76"/>
      <x:c r="F3" s="76" t="str">
        <x:v>+2 CA (17)</x:v>
      </x:c>
      <x:c r="G3" s="76" t="str">
        <x:v>16 CA, no armor</x:v>
      </x:c>
      <x:c r="H3" s="76" t="str">
        <x:v>18 CA, , no armor</x:v>
      </x:c>
      <x:c r="I3" s="76" t="str">
        <x:v>16 CA, no armor</x:v>
      </x:c>
    </x:row>
    <x:row r="4" ht="24" customHeight="1">
      <x:c r="A4" s="76"/>
      <x:c r="B4" s="76"/>
      <x:c r="C4" s="76"/>
      <x:c r="D4" s="76"/>
      <x:c r="E4" s="76"/>
      <x:c r="F4" s="76" t="str">
        <x:v>+2 jets d'attaques</x:v>
      </x:c>
      <x:c r="G4" s="76" t="str">
        <x:v>+2 jets d'attaques</x:v>
      </x:c>
      <x:c r="H4" s="76" t="str">
        <x:v>+ 4 jets d'attaque</x:v>
      </x:c>
      <x:c r="I4" s="76" t="str">
        <x:v>+ 4 jets d'attaque sorcier (2 sinon)</x:v>
      </x:c>
    </x:row>
    <x:row r="5" ht="24" customHeight="1">
      <x:c r="A5" s="76" t="str">
        <x:v>Sphère d'annihilation: Milo propose de pouvoir la rentrer dans le talisman, mais distance max talisman et sphere</x:v>
      </x:c>
      <x:c r="B5" s="76"/>
      <x:c r="C5" s="76"/>
      <x:c r="D5" s="76" t="n">
        <x:v>0</x:v>
      </x:c>
      <x:c r="E5" s="76"/>
      <x:c r="F5" s="76" t="str">
        <x:v>+2 DD sauvegarde</x:v>
      </x:c>
      <x:c r="G5" s="76" t="str">
        <x:v>+2 DD sauvegarde</x:v>
      </x:c>
      <x:c r="H5" s="76" t="str">
        <x:v>+ 2 DD de sauvegarde</x:v>
      </x:c>
      <x:c r="I5" s="76" t="str">
        <x:v>+ 4 DD de sauvegarde sorcier (2 sinon)</x:v>
      </x:c>
    </x:row>
    <x:row r="6" ht="24" customHeight="1">
      <x:c r="A6" s="76"/>
      <x:c r="B6" s="76"/>
      <x:c r="C6" s="76"/>
      <x:c r="D6" s="76"/>
      <x:c r="E6" s="76"/>
      <x:c r="F6" s="76" t="str">
        <x:v>1 repos court warlock</x:v>
      </x:c>
      <x:c r="G6" s="76"/>
      <x:c r="H6" s="76"/>
      <x:c r="I6" s="76" t="str">
        <x:v>1 repos court warlock</x:v>
      </x:c>
    </x:row>
    <x:row r="7" ht="24" customHeight="1">
      <x:c r="A7" s="76" t="str">
        <x:v>Vendre anneau de stockage de sort, peut-être en mettant des sorts dedans ? (personnel, pas pot commun)</x:v>
      </x:c>
      <x:c r="B7" s="76"/>
      <x:c r="C7" s="76"/>
      <x:c r="D7" s="76"/>
      <x:c r="E7" s="76"/>
      <x:c r="F7" s="76"/>
      <x:c r="G7" s="76" t="str">
        <x:v>avantage jds sorts et effets magiques</x:v>
      </x:c>
      <x:c r="H7" s="76" t="str">
        <x:v>avantage jds sorts et effets magiques</x:v>
      </x:c>
      <x:c r="I7" s="76" t="str">
        <x:v>avantage jds sorts et effets magiques</x:v>
      </x:c>
    </x:row>
    <x:row r="8" ht="24" customHeight="1">
      <x:c r="A8" s="76" t="str">
        <x:v>puis-je changer un sort pour immobilisation de monstre si je ne garde pas le staff of power ?</x:v>
      </x:c>
      <x:c r="B8" s="76"/>
      <x:c r="C8" s="76"/>
      <x:c r="D8" s="76"/>
      <x:c r="E8" s="76"/>
      <x:c r="F8" s="76" t="str">
        <x:v>+ 2 jds</x:v>
      </x:c>
      <x:c r="G8" s="76"/>
      <x:c r="H8" s="76" t="str">
        <x:v>+ 2 jds</x:v>
      </x:c>
      <x:c r="I8" s="76"/>
    </x:row>
    <x:row r="9" ht="24" customHeight="1">
      <x:c r="A9" s="76"/>
      <x:c r="B9" s="76"/>
      <x:c r="C9" s="76"/>
      <x:c r="D9" s="76"/>
      <x:c r="E9" s="76"/>
      <x:c r="F9" s="76" t="str">
        <x:v>sorts du bâton de puissance</x:v>
      </x:c>
      <x:c r="G9" s="76"/>
      <x:c r="H9" s="76" t="str">
        <x:v>sorts du bâton de puissance</x:v>
      </x:c>
      <x:c r="I9" s="76"/>
    </x:row>
    <x:row r="10" ht="24" customHeight="1">
      <x:c r="A10" s="76" t="str">
        <x:v>A chercher possiblement</x:v>
      </x:c>
      <x:c r="B10" s="76"/>
      <x:c r="C10" s="76"/>
      <x:c r="D10" s="76"/>
      <x:c r="E10" s="76"/>
      <x:c r="F10" s="76" t="str">
        <x:v>sorts stockés dans anneau</x:v>
      </x:c>
      <x:c r="G10" s="76"/>
      <x:c r="H10" s="76"/>
      <x:c r="I10" s="76"/>
    </x:row>
    <x:row r="11" ht="24" customHeight="1">
      <x:c r="A11" s="76" t="str">
        <x:v>Amulette de santé (const 19), lien</x:v>
      </x:c>
      <x:c r="B11" s="76"/>
      <x:c r="C11" s="76"/>
      <x:c r="D11" s="76"/>
      <x:c r="E11" s="76"/>
      <x:c r="F11" s="76"/>
      <x:c r="G11" s="76" t="str">
        <x:v>controle sphere</x:v>
      </x:c>
      <x:c r="H11" s="76" t="str">
        <x:v>controle sphere</x:v>
      </x:c>
      <x:c r="I11" s="76" t="str">
        <x:v>controle sphere</x:v>
      </x:c>
    </x:row>
    <x:row r="12" ht="24" customHeight="1">
      <x:c r="A12" s="76" t="str">
        <x:v>bracelets de défense + 2 CA si pas armure ni bouclier (lien)</x:v>
      </x:c>
      <x:c r="B12" s="76"/>
      <x:c r="C12" s="76"/>
      <x:c r="D12" s="76"/>
      <x:c r="E12" s="76"/>
      <x:c r="F12" s="76"/>
      <x:c r="G12" s="76"/>
      <x:c r="H12" s="76" t="str">
        <x:v>1 repos court de warlock = ghostly gaze, protection entropique + 3 slots lvl 5</x:v>
      </x:c>
      <x:c r="I12" s="76"/>
    </x:row>
    <x:row r="13" ht="24" customHeight="1">
      <x:c r="A13" s="76" t="str">
        <x:v>Periapt of proof against poison</x:v>
      </x:c>
      <x:c r="B13" s="76" t="str">
        <x:v>https://www.dndbeyond.com/magic-items/periapt-of-proof-against-poison</x:v>
      </x:c>
      <x:c r="C13" s="76"/>
      <x:c r="D13" s="76"/>
      <x:c r="E13" s="76" t="str">
        <x:v>A vendre</x:v>
      </x:c>
      <x:c r="F13" s="76" t="str">
        <x:v>anneau de stockage de sorts</x:v>
      </x:c>
      <x:c r="G13" s="76"/>
      <x:c r="H13" s="76" t="str">
        <x:v>sorts baton = mur de force, hold monster</x:v>
      </x:c>
      <x:c r="I13" s="76"/>
    </x:row>
    <x:row r="14" ht="24" customHeight="1">
      <x:c r="A14" s="76" t="str">
        <x:v>Poudre de disparition x3</x:v>
      </x:c>
      <x:c r="B14" s="76" t="str">
        <x:v>ou potion d'invisibilité ? (non, très rare)</x:v>
      </x:c>
      <x:c r="C14" s="76"/>
      <x:c r="D14" s="76"/>
      <x:c r="E14" s="76"/>
      <x:c r="F14" s="76" t="str">
        <x:v>sceptre du warlock +2 +repos court</x:v>
      </x:c>
      <x:c r="G14" s="76"/>
      <x:c r="H14" s="76"/>
      <x:c r="I14" s="76"/>
    </x:row>
    <x:row r="15" ht="24" customHeight="1">
      <x:c r="A15" s="76" t="str">
        <x:v>ring of regeneration, very rare, lien</x:v>
      </x:c>
      <x:c r="B15" s="76"/>
      <x:c r="C15" s="76"/>
      <x:c r="D15" s="76"/>
      <x:c r="E15" s="76"/>
      <x:c r="F15" s="76" t="str">
        <x:v>armure de cuir clouté +2, changepeau, glamour</x:v>
      </x:c>
      <x:c r="G15" s="76"/>
      <x:c r="H15" s="76" t="str">
        <x:v>si les effets ne stackent pas: je garde le bâton de puissance</x:v>
      </x:c>
      <x:c r="I15" s="76"/>
    </x:row>
    <x:row r="16" ht="24" customHeight="1">
      <x:c r="A16" s="76" t="str">
        <x:v>https://www.dndbeyond.com/magic-items/potion-of-resistance</x:v>
      </x:c>
      <x:c r="B16" s="76" t="str">
        <x:v>Uncommon, potion of resistance</x:v>
      </x:c>
      <x:c r="C16" s="76"/>
      <x:c r="D16" s="76"/>
      <x:c r="E16" s="76" t="str">
        <x:v>Acheter</x:v>
      </x:c>
      <x:c r="F16" s="76" t="str">
        <x:v>Robe de l'archimage</x:v>
      </x:c>
      <x:c r="G16" s="76"/>
      <x:c r="H16" s="76"/>
      <x:c r="I16" s="76"/>
    </x:row>
    <x:row r="17" ht="24" customHeight="1">
      <x:c r="A17" s="76" t="str">
        <x:v>https://www.dndbeyond.com/magic-items/eyes-of-minute-seeing</x:v>
      </x:c>
      <x:c r="B17" s="76" t="str">
        <x:v>adv investigation</x:v>
      </x:c>
      <x:c r="C17" s="76"/>
      <x:c r="D17" s="76"/>
      <x:c r="E17" s="76"/>
      <x:c r="F17" s="76" t="str">
        <x:v>Periapt of proof against poison</x:v>
      </x:c>
      <x:c r="G17" s="76"/>
      <x:c r="H17" s="76"/>
      <x:c r="I17" s="76"/>
    </x:row>
    <x:row r="18" ht="24" customHeight="1">
      <x:c r="A18" s="76" t="str">
        <x:v>Weapon of warning (uncommon) on staff of power</x:v>
      </x:c>
      <x:c r="B18" s="76"/>
      <x:c r="C18" s="76"/>
      <x:c r="D18" s="76"/>
      <x:c r="E18" s="76"/>
      <x:c r="F18" s="76" t="str">
        <x:v>Poudre de disparition</x:v>
      </x:c>
      <x:c r="G18" s="76"/>
      <x:c r="H18" s="76"/>
      <x:c r="I18" s="76"/>
    </x:row>
    <x:row r="19" ht="24" customHeight="1">
      <x:c r="A19" s="76" t="str">
        <x:v>Clockwork Amulet, Common, 1/day take 10 on an attack roll</x:v>
      </x:c>
      <x:c r="B19" s="76"/>
      <x:c r="C19" s="76"/>
      <x:c r="D19" s="76"/>
      <x:c r="E19" s="76"/>
      <x:c r="F19" s="76" t="str">
        <x:v>sinon, amulette de santé (et je garde les 2 bâtons ?)</x:v>
      </x:c>
      <x:c r="G19" s="76"/>
      <x:c r="H19" s="76"/>
      <x:c r="I19" s="76"/>
    </x:row>
    <x:row r="20" ht="24" customHeight="1">
      <x:c r="A20" s="76" t="str">
        <x:v>Eversmoking bottle</x:v>
      </x:c>
      <x:c r="B20" s="76"/>
      <x:c r="C20" s="76"/>
      <x:c r="D20" s="76"/>
      <x:c r="E20" s="76"/>
      <x:c r="F20" s="76"/>
      <x:c r="G20" s="76"/>
      <x:c r="H20" s="76"/>
      <x:c r="I20" s="76"/>
    </x:row>
    <x:row r="21" ht="24" customHeight="1">
      <x:c r="A21" s="76" t="str">
        <x:v>Restorative Ointment, Uncommon, soigne + poisons+ maladies</x:v>
      </x:c>
      <x:c r="B21" s="76"/>
      <x:c r="C21" s="76"/>
      <x:c r="D21" s="76"/>
      <x:c r="E21" s="76"/>
      <x:c r="F21" s="76"/>
      <x:c r="G21" s="76"/>
      <x:c r="H21" s="76"/>
      <x:c r="I21" s="76"/>
    </x:row>
    <x:row r="22" ht="24" customHeight="1">
      <x:c r="A22" s="76"/>
      <x:c r="B22" s="76"/>
      <x:c r="C22" s="76"/>
      <x:c r="D22" s="76"/>
      <x:c r="E22" s="76"/>
      <x:c r="F22" s="76"/>
      <x:c r="G22" s="76"/>
      <x:c r="H22" s="76"/>
      <x:c r="I22" s="76"/>
    </x:row>
    <x:row r="23" ht="24" customHeight="1">
      <x:c r="A23" s="76"/>
      <x:c r="B23" s="76"/>
      <x:c r="C23" s="76"/>
      <x:c r="D23" s="76"/>
      <x:c r="E23" s="76"/>
      <x:c r="F23" s="76"/>
      <x:c r="G23" s="76"/>
      <x:c r="H23" s="76"/>
      <x:c r="I23" s="76"/>
    </x:row>
    <x:row r="24" ht="24" customHeight="1">
      <x:c r="A24" s="76"/>
      <x:c r="B24" s="76"/>
      <x:c r="C24" s="76"/>
      <x:c r="D24" s="76"/>
      <x:c r="E24" s="76"/>
      <x:c r="F24" s="76"/>
      <x:c r="G24" s="76"/>
      <x:c r="H24" s="76"/>
      <x:c r="I24" s="76"/>
    </x:row>
    <x:row r="25" ht="24" customHeight="1">
      <x:c r="A25" s="76"/>
      <x:c r="B25" s="76"/>
      <x:c r="C25" s="76"/>
      <x:c r="D25" s="76"/>
      <x:c r="E25" s="76"/>
      <x:c r="F25" s="76"/>
      <x:c r="G25" s="76"/>
      <x:c r="H25" s="76"/>
      <x:c r="I25" s="76"/>
    </x:row>
    <x:row r="26" ht="24" customHeight="1">
      <x:c r="A26" s="76" t="str">
        <x:v>LISTE ACTIONS + QUESTIONS POUR BAZIRE</x:v>
      </x:c>
      <x:c r="B26" s="76"/>
      <x:c r="C26" s="76"/>
      <x:c r="D26" s="76" t="str">
        <x:v>Prix</x:v>
      </x:c>
      <x:c r="E26" s="76"/>
      <x:c r="F26" s="76"/>
      <x:c r="G26" s="76"/>
      <x:c r="H26" s="76"/>
      <x:c r="I26" s="76"/>
    </x:row>
    <x:row r="27" ht="24" customHeight="1">
      <x:c r="A27" s="76" t="str">
        <x:v>Recopie Illusory script (niv 1)</x:v>
      </x:c>
      <x:c r="B27" s="76" t="str">
        <x:v>2h et 50po (a déjà encres précieuses)</x:v>
      </x:c>
      <x:c r="C27" s="76"/>
      <x:c r="D27" s="76" t="n">
        <x:v>0</x:v>
      </x:c>
      <x:c r="E27" s="76"/>
      <x:c r="F27" s="76"/>
      <x:c r="G27" s="76"/>
      <x:c r="H27" s="76"/>
      <x:c r="I27" s="76"/>
    </x:row>
    <x:row r="28" ht="24" customHeight="1">
      <x:c r="A28" s="76"/>
      <x:c r="B28" s="76"/>
      <x:c r="C28" s="76"/>
      <x:c r="D28" s="76"/>
      <x:c r="E28" s="76"/>
      <x:c r="F28" s="76"/>
      <x:c r="G28" s="76"/>
      <x:c r="H28" s="76"/>
      <x:c r="I28" s="76"/>
    </x:row>
    <x:row r="29" ht="24" customHeight="1">
      <x:c r="A29" s="76" t="str">
        <x:v>+ voir questions</x:v>
      </x:c>
      <x:c r="B29" s="76" t="str">
        <x:v>https://docs.google.com/document/d/1g8_dbI_z99DVU6aOHzjbSmF3xgrv4I_WhgNYpPEIsRE/edit#</x:v>
      </x:c>
      <x:c r="C29" s="76"/>
      <x:c r="D29" s="76"/>
      <x:c r="E29" s="76"/>
      <x:c r="F29" s="76"/>
      <x:c r="G29" s="76"/>
      <x:c r="H29" s="76"/>
      <x:c r="I29" s="76"/>
    </x:row>
    <x:row r="30" ht="24" customHeight="1">
      <x:c r="A30" s="76"/>
      <x:c r="B30" s="76"/>
      <x:c r="C30" s="76"/>
      <x:c r="D30" s="76"/>
      <x:c r="E30" s="76"/>
      <x:c r="F30" s="76"/>
      <x:c r="G30" s="76"/>
      <x:c r="H30" s="76"/>
      <x:c r="I30" s="76"/>
    </x:row>
    <x:row r="31" ht="24" customHeight="1">
      <x:c r="A31" s="76"/>
      <x:c r="B31" s="76"/>
      <x:c r="C31" s="76"/>
      <x:c r="D31" s="76"/>
      <x:c r="E31" s="76"/>
      <x:c r="F31" s="76"/>
      <x:c r="G31" s="76"/>
      <x:c r="H31" s="76"/>
      <x:c r="I31" s="76"/>
    </x:row>
    <x:row r="32" ht="24" customHeight="1">
      <x:c r="A32" s="76"/>
      <x:c r="B32" s="76"/>
      <x:c r="C32" s="76"/>
      <x:c r="D32" s="76"/>
      <x:c r="E32" s="76"/>
      <x:c r="F32" s="76"/>
      <x:c r="G32" s="76"/>
      <x:c r="H32" s="76"/>
      <x:c r="I32" s="76"/>
    </x:row>
    <x:row r="33" ht="24" customHeight="1">
      <x:c r="A33" s="76"/>
      <x:c r="B33" s="76"/>
      <x:c r="C33" s="76"/>
      <x:c r="D33" s="76"/>
      <x:c r="E33" s="76"/>
      <x:c r="F33" s="76"/>
      <x:c r="G33" s="76"/>
      <x:c r="H33" s="76"/>
      <x:c r="I33" s="76"/>
    </x:row>
    <x:row r="34" ht="24" customHeight="1">
      <x:c r="A34" s="76"/>
      <x:c r="B34" s="76"/>
      <x:c r="C34" s="76"/>
      <x:c r="D34" s="76"/>
      <x:c r="E34" s="76"/>
      <x:c r="F34" s="76"/>
      <x:c r="G34" s="76"/>
      <x:c r="H34" s="76"/>
      <x:c r="I34" s="76"/>
    </x:row>
    <x:row r="35" ht="24" customHeight="1">
      <x:c r="A35" s="76"/>
      <x:c r="B35" s="76"/>
      <x:c r="C35" s="76"/>
      <x:c r="D35" s="76"/>
      <x:c r="E35" s="76"/>
      <x:c r="F35" s="76"/>
      <x:c r="G35" s="76"/>
      <x:c r="H35" s="76"/>
      <x:c r="I35" s="76"/>
    </x:row>
    <x:row r="36" ht="24" customHeight="1">
      <x:c r="A36" s="76"/>
      <x:c r="B36" s="76"/>
      <x:c r="C36" s="76"/>
      <x:c r="D36" s="76"/>
      <x:c r="E36" s="76"/>
      <x:c r="F36" s="76"/>
      <x:c r="G36" s="76"/>
      <x:c r="H36" s="76"/>
      <x:c r="I36" s="76"/>
    </x:row>
    <x:row r="37" ht="24" customHeight="1">
      <x:c r="A37" s="76"/>
      <x:c r="B37" s="76"/>
      <x:c r="C37" s="76"/>
      <x:c r="D37" s="76"/>
      <x:c r="E37" s="76"/>
      <x:c r="F37" s="76"/>
      <x:c r="G37" s="76"/>
      <x:c r="H37" s="76"/>
      <x:c r="I37" s="76"/>
    </x:row>
    <x:row r="38" ht="24" customHeight="1">
      <x:c r="A38" s="76"/>
      <x:c r="B38" s="76"/>
      <x:c r="C38" s="76"/>
      <x:c r="D38" s="76"/>
      <x:c r="E38" s="76"/>
      <x:c r="F38" s="76"/>
      <x:c r="G38" s="76"/>
      <x:c r="H38" s="76"/>
      <x:c r="I38" s="76"/>
    </x:row>
    <x:row r="39" ht="24" customHeight="1">
      <x:c r="A39" s="76"/>
      <x:c r="B39" s="76"/>
      <x:c r="C39" s="76"/>
      <x:c r="D39" s="76"/>
      <x:c r="E39" s="76"/>
      <x:c r="F39" s="76"/>
      <x:c r="G39" s="76"/>
      <x:c r="H39" s="76"/>
      <x:c r="I39" s="76"/>
    </x:row>
    <x:row r="40" ht="24" customHeight="1">
      <x:c r="A40" s="76"/>
      <x:c r="B40" s="76"/>
      <x:c r="C40" s="76"/>
      <x:c r="D40" s="76"/>
      <x:c r="E40" s="76"/>
      <x:c r="F40" s="76"/>
      <x:c r="G40" s="76"/>
      <x:c r="H40" s="76"/>
      <x:c r="I40" s="76"/>
    </x:row>
    <x:row r="41" ht="24" customHeight="1">
      <x:c r="A41" s="76"/>
      <x:c r="B41" s="76"/>
      <x:c r="C41" s="76"/>
      <x:c r="D41" s="76"/>
      <x:c r="E41" s="76"/>
      <x:c r="F41" s="76"/>
      <x:c r="G41" s="76"/>
      <x:c r="H41" s="76"/>
      <x:c r="I41" s="76"/>
    </x:row>
    <x:row r="42" ht="24" customHeight="1">
      <x:c r="A42" s="76"/>
      <x:c r="B42" s="76"/>
      <x:c r="C42" s="76"/>
      <x:c r="D42" s="76"/>
      <x:c r="E42" s="76"/>
      <x:c r="F42" s="76"/>
      <x:c r="G42" s="76"/>
      <x:c r="H42" s="76"/>
      <x:c r="I42" s="76"/>
    </x:row>
    <x:row r="43" ht="24" customHeight="1">
      <x:c r="A43" s="76"/>
      <x:c r="B43" s="76"/>
      <x:c r="C43" s="76"/>
      <x:c r="D43" s="76"/>
      <x:c r="E43" s="76"/>
      <x:c r="F43" s="76"/>
      <x:c r="G43" s="76"/>
      <x:c r="H43" s="76"/>
      <x:c r="I43" s="76"/>
    </x:row>
    <x:row r="44" ht="24" customHeight="1">
      <x:c r="A44" s="76" t="str">
        <x:v>DERNIERE PAUSE - IGNORER</x:v>
      </x:c>
      <x:c r="B44" s="76"/>
      <x:c r="C44" s="76"/>
      <x:c r="D44" s="76"/>
      <x:c r="E44" s="76"/>
      <x:c r="F44" s="76"/>
      <x:c r="G44" s="76"/>
      <x:c r="H44" s="76"/>
      <x:c r="I44" s="76"/>
    </x:row>
    <x:row r="45" ht="24" customHeight="1">
      <x:c r="A45" s="76" t="str">
        <x:v>Quel prix pour upgrader le sceptre de garant du pacte :</x:v>
      </x:c>
      <x:c r="B45" s="76"/>
      <x:c r="C45" s="76"/>
      <x:c r="D45" s="76"/>
      <x:c r="E45" s="76"/>
      <x:c r="F45" s="76"/>
      <x:c r="G45" s="76"/>
      <x:c r="H45" s="76"/>
      <x:c r="I45" s="76"/>
    </x:row>
    <x:row r="46" ht="24" customHeight="1">
      <x:c r="A46" s="76"/>
      <x:c r="B46" s="76" t="str">
        <x:v>À rare ? </x:v>
      </x:c>
      <x:c r="C46" s="76"/>
      <x:c r="D46" s="76"/>
      <x:c r="E46" s="76"/>
      <x:c r="F46" s="76"/>
      <x:c r="G46" s="76"/>
      <x:c r="H46" s="76"/>
      <x:c r="I46" s="76"/>
    </x:row>
    <x:row r="47" ht="24" customHeight="1">
      <x:c r="A47" s="76"/>
      <x:c r="B47" s="76" t="str">
        <x:v>À très rare ? </x:v>
      </x:c>
      <x:c r="C47" s="76"/>
      <x:c r="D47" s="76"/>
      <x:c r="E47" s="76"/>
      <x:c r="F47" s="76"/>
      <x:c r="G47" s="76"/>
      <x:c r="H47" s="76"/>
      <x:c r="I47" s="76"/>
    </x:row>
    <x:row r="48" ht="24" customHeight="1">
      <x:c r="A48" s="76" t="str">
        <x:v>Anneau de stockage de sorts : possible de choisir avec quel lvl je lance des sorts dans l'anneau ? </x:v>
      </x:c>
      <x:c r="B48" s="76"/>
      <x:c r="C48" s="76"/>
      <x:c r="D48" s="76"/>
      <x:c r="E48" s="76"/>
      <x:c r="F48" s="76"/>
      <x:c r="G48" s="76"/>
      <x:c r="H48" s="76"/>
      <x:c r="I48" s="76"/>
    </x:row>
    <x:row r="49" ht="24" customHeight="1">
      <x:c r="A49" s="76"/>
      <x:c r="B49" s="76"/>
      <x:c r="C49" s="76"/>
      <x:c r="D49" s="76"/>
      <x:c r="E49" s="76"/>
      <x:c r="F49" s="76"/>
      <x:c r="G49" s="76"/>
      <x:c r="H49" s="76"/>
      <x:c r="I49" s="76"/>
    </x:row>
    <x:row r="50" ht="24" customHeight="1">
      <x:c r="A50" s="76"/>
      <x:c r="B50" s="76"/>
      <x:c r="C50" s="76"/>
      <x:c r="D50" s="76"/>
      <x:c r="E50" s="76"/>
      <x:c r="F50" s="76"/>
      <x:c r="G50" s="76"/>
      <x:c r="H50" s="76"/>
      <x:c r="I50" s="76"/>
    </x:row>
    <x:row r="51" ht="24" customHeight="1">
      <x:c r="A51" s="76"/>
      <x:c r="B51" s="76" t="str">
        <x:v>Rareté </x:v>
      </x:c>
      <x:c r="C51" s="76" t="str">
        <x:v>Priorité pour les chercher</x:v>
      </x:c>
      <x:c r="D51" s="76" t="str">
        <x:v>Retenu ? </x:v>
      </x:c>
      <x:c r="E51" s="76" t="str">
        <x:v>Lien ? </x:v>
      </x:c>
      <x:c r="F51" s="76" t="str">
        <x:v>Valeur (à remplir par Bazire)</x:v>
      </x:c>
      <x:c r="G51" s="76" t="str">
        <x:v>Prix Gemmaline</x:v>
      </x:c>
      <x:c r="H51" s="76" t="str">
        <x:v>Source</x:v>
      </x:c>
      <x:c r="I51" s="76"/>
    </x:row>
    <x:row r="52" ht="24" customHeight="1">
      <x:c r="A52" s="76" t="str">
        <x:v>Sac sans fond</x:v>
      </x:c>
      <x:c r="B52" s="76" t="str">
        <x:v>peu commun</x:v>
      </x:c>
      <x:c r="C52" s="76" t="n">
        <x:v>1</x:v>
      </x:c>
      <x:c r="D52" s="76" t="str">
        <x:v>Oui</x:v>
      </x:c>
      <x:c r="E52" s="76"/>
      <x:c r="F52" s="76" t="n">
        <x:v>500</x:v>
      </x:c>
      <x:c r="G52" s="76"/>
      <x:c r="H52" s="76" t="str">
        <x:v>aidedd</x:v>
      </x:c>
      <x:c r="I52" s="76"/>
    </x:row>
    <x:row r="53" ht="24" customHeight="1">
      <x:c r="A53" s="76" t="str">
        <x:v>Illusionist's bracers</x:v>
      </x:c>
      <x:c r="B53" s="76" t="str">
        <x:v>Très rare</x:v>
      </x:c>
      <x:c r="C53" s="76" t="n">
        <x:v>2</x:v>
      </x:c>
      <x:c r="D53" s="76" t="str">
        <x:v>Oui</x:v>
      </x:c>
      <x:c r="E53" s="76" t="str">
        <x:v>X</x:v>
      </x:c>
      <x:c r="F53" s="76" t="str">
        <x:v>Non</x:v>
      </x:c>
      <x:c r="G53" s="76"/>
      <x:c r="H53" s="76" t="str">
        <x:v>Guildmasters' Guide to Ravnica</x:v>
      </x:c>
      <x:c r="I53" s="76"/>
    </x:row>
    <x:row r="54" ht="24" customHeight="1">
      <x:c r="A54" s="76" t="str">
        <x:v>Cloak of displacement</x:v>
      </x:c>
      <x:c r="B54" s="76" t="str">
        <x:v>Rare</x:v>
      </x:c>
      <x:c r="C54" s="76"/>
      <x:c r="D54" s="76"/>
      <x:c r="E54" s="76" t="str">
        <x:v>X</x:v>
      </x:c>
      <x:c r="F54" s="76"/>
      <x:c r="G54" s="76"/>
      <x:c r="H54" s="76" t="str">
        <x:v>aidedd</x:v>
      </x:c>
      <x:c r="I54" s="76"/>
    </x:row>
    <x:row r="55" ht="24" customHeight="1">
      <x:c r="A55" s="76" t="str">
        <x:v>Anneau de stockage de sorts</x:v>
      </x:c>
      <x:c r="B55" s="76" t="str">
        <x:v>Rare</x:v>
      </x:c>
      <x:c r="C55" s="76" t="n">
        <x:v>3</x:v>
      </x:c>
      <x:c r="D55" s="76" t="str">
        <x:v>Oui, si pas trouvé bracers</x:v>
      </x:c>
      <x:c r="E55" s="76" t="str">
        <x:v>X</x:v>
      </x:c>
      <x:c r="F55" s="76" t="n">
        <x:v>4312</x:v>
      </x:c>
      <x:c r="G55" s="76"/>
      <x:c r="H55" s="76" t="str">
        <x:v>dnd beyond</x:v>
      </x:c>
      <x:c r="I55" s="76"/>
    </x:row>
    <x:row r="56" ht="24" customHeight="1">
      <x:c r="A56" s="76" t="str">
        <x:v>Upgrade rod of the pact keeper</x:v>
      </x:c>
      <x:c r="B56" s="76" t="str">
        <x:v>Peu commun-&gt;très rare</x:v>
      </x:c>
      <x:c r="C56" s="76" t="n">
        <x:v>4</x:v>
      </x:c>
      <x:c r="D56" s="76" t="str">
        <x:v>Oui</x:v>
      </x:c>
      <x:c r="E56" s="76"/>
      <x:c r="F56" s="76" t="str">
        <x:v>25-30K (19 000)</x:v>
      </x:c>
      <x:c r="G56" s="76"/>
      <x:c r="H56" s="76"/>
      <x:c r="I56" s="76"/>
    </x:row>
    <x:row r="57" ht="24" customHeight="1">
      <x:c r="A57" s="76" t="str">
        <x:v>Enchanter armure de cuir cloutee +1 -&gt; +2, changepeau</x:v>
      </x:c>
      <x:c r="B57" s="76"/>
      <x:c r="C57" s="76" t="n">
        <x:v>5</x:v>
      </x:c>
      <x:c r="D57" s="76" t="str">
        <x:v>Oui</x:v>
      </x:c>
      <x:c r="E57" s="76"/>
      <x:c r="F57" s="76" t="str">
        <x:v>15K (+1 chagepeau 5 fois par jour =&gt; 2180 ), 14790 =&gt; passage de +1 a +2 et effet permanent</x:v>
      </x:c>
      <x:c r="G57" s="76"/>
      <x:c r="H57" s="76"/>
      <x:c r="I57" s="76"/>
    </x:row>
    <x:row r="58" ht="24" customHeight="1">
      <x:c r="A58" s="76" t="str">
        <x:v>Bottes de gravité </x:v>
      </x:c>
      <x:c r="B58" s="76" t="str">
        <x:v>? </x:v>
      </x:c>
      <x:c r="C58" s="76" t="n">
        <x:v>6</x:v>
      </x:c>
      <x:c r="D58" s="76" t="str">
        <x:v>Oui</x:v>
      </x:c>
      <x:c r="E58" s="76" t="str">
        <x:v>? </x:v>
      </x:c>
      <x:c r="F58" s="76"/>
      <x:c r="G58" s="76" t="n">
        <x:v>50400</x:v>
      </x:c>
      <x:c r="H58" s="76" t="str">
        <x:v>Gemmaline</x:v>
      </x:c>
      <x:c r="I58" s="76"/>
    </x:row>
    <x:row r="59" ht="24" customHeight="1">
      <x:c r="A59" s="76" t="str">
        <x:v>Anneau du mage de combat</x:v>
      </x:c>
      <x:c r="B59" s="76" t="str">
        <x:v>? </x:v>
      </x:c>
      <x:c r="C59" s="76" t="n">
        <x:v>7</x:v>
      </x:c>
      <x:c r="D59" s="76" t="str">
        <x:v>Oui</x:v>
      </x:c>
      <x:c r="E59" s="76" t="str">
        <x:v>? </x:v>
      </x:c>
      <x:c r="F59" s="76"/>
      <x:c r="G59" s="76" t="n">
        <x:v>12000</x:v>
      </x:c>
      <x:c r="H59" s="76" t="str">
        <x:v>Gemmaline</x:v>
      </x:c>
      <x:c r="I59" s="76"/>
    </x:row>
    <x:row r="60" ht="24" customHeight="1">
      <x:c r="A60" s="76" t="str">
        <x:v>Cloak of arachnida</x:v>
      </x:c>
      <x:c r="B60" s="76" t="str">
        <x:v>Très rare</x:v>
      </x:c>
      <x:c r="C60" s="76" t="n">
        <x:v>8</x:v>
      </x:c>
      <x:c r="D60" s="76" t="str">
        <x:v>Oui, si lien possible</x:v>
      </x:c>
      <x:c r="E60" s="76" t="str">
        <x:v>X</x:v>
      </x:c>
      <x:c r="F60" s="76"/>
      <x:c r="G60" s="76"/>
      <x:c r="H60" s="76" t="str">
        <x:v>Aidedd</x:v>
      </x:c>
      <x:c r="I60" s="76"/>
    </x:row>
    <x:row r="61" ht="24" customHeight="1">
      <x:c r="A61" s="76" t="str">
        <x:v>Cloak of Many Fashions</x:v>
      </x:c>
      <x:c r="B61" s="76" t="str">
        <x:v>Commun</x:v>
      </x:c>
      <x:c r="C61" s="76"/>
      <x:c r="D61" s="76" t="str">
        <x:v>Oui, si pas autre cape</x:v>
      </x:c>
      <x:c r="E61" s="76"/>
      <x:c r="F61" s="76"/>
      <x:c r="G61" s="76"/>
      <x:c r="H61" s="76" t="str">
        <x:v>Xanathar</x:v>
      </x:c>
      <x:c r="I61" s="76"/>
    </x:row>
    <x:row r="62" ht="24" customHeight="1">
      <x:c r="A62" s="76" t="str">
        <x:v>Tankard of sobriety</x:v>
      </x:c>
      <x:c r="B62" s="76" t="str">
        <x:v>Commun</x:v>
      </x:c>
      <x:c r="C62" s="76"/>
      <x:c r="D62" s="76" t="str">
        <x:v>Oui</x:v>
      </x:c>
      <x:c r="E62" s="76"/>
      <x:c r="F62" s="76"/>
      <x:c r="G62" s="76"/>
      <x:c r="H62" s="76" t="str">
        <x:v>Xanathar </x:v>
      </x:c>
      <x:c r="I62" s="76"/>
    </x:row>
    <x:row r="63" ht="24" customHeight="1">
      <x:c r="A63" s="76" t="str">
        <x:v>Cleansing stone</x:v>
      </x:c>
      <x:c r="B63" s="76" t="str">
        <x:v>Commun</x:v>
      </x:c>
      <x:c r="C63" s="76"/>
      <x:c r="D63" s="76" t="str">
        <x:v>Oui</x:v>
      </x:c>
      <x:c r="E63" s="76"/>
      <x:c r="F63" s="76"/>
      <x:c r="G63" s="76"/>
      <x:c r="H63" s="76" t="str">
        <x:v>Aidedd</x:v>
      </x:c>
      <x:c r="I63" s="76" t="str">
        <x:v>https://www.aidedd.org/en/intro/unearthed-arcana/magic-items-of-eberron/</x:v>
      </x:c>
    </x:row>
    <x:row r="64" ht="24" customHeight="1">
      <x:c r="A64" s="76" t="str">
        <x:v>Feather token</x:v>
      </x:c>
      <x:c r="B64" s="76" t="str">
        <x:v>Commun</x:v>
      </x:c>
      <x:c r="C64" s="76"/>
      <x:c r="D64" s="76" t="str">
        <x:v>Oui</x:v>
      </x:c>
      <x:c r="E64" s="76"/>
      <x:c r="F64" s="76"/>
      <x:c r="G64" s="76"/>
      <x:c r="H64" s="76" t="str">
        <x:v>Aidedd</x:v>
      </x:c>
      <x:c r="I64" s="76" t="str">
        <x:v>https://www.aidedd.org/en/intro/unearthed-arcana/magic-items-of-eberron/</x:v>
      </x:c>
    </x:row>
    <x:row r="65" ht="24" customHeight="1">
      <x:c r="A65" s="76" t="str">
        <x:v>Spellshard</x:v>
      </x:c>
      <x:c r="B65" s="76" t="str">
        <x:v>Commun</x:v>
      </x:c>
      <x:c r="C65" s="76"/>
      <x:c r="D65" s="76" t="str">
        <x:v>Oui</x:v>
      </x:c>
      <x:c r="E65" s="76"/>
      <x:c r="F65" s="76"/>
      <x:c r="G65" s="76"/>
      <x:c r="H65" s="76" t="str">
        <x:v>Aidedd</x:v>
      </x:c>
      <x:c r="I65" s="76" t="str">
        <x:v>https://www.aidedd.org/en/intro/unearthed-arcana/magic-items-of-eberron/</x:v>
      </x:c>
    </x:row>
    <x:row r="66" ht="24" customHeight="1">
      <x:c r="A66" s="76" t="str">
        <x:v>Tome of Leadership and Influence</x:v>
      </x:c>
      <x:c r="B66" s="76" t="str">
        <x:v>Très rare</x:v>
      </x:c>
      <x:c r="C66" s="76"/>
      <x:c r="D66" s="76"/>
      <x:c r="E66" s="76"/>
      <x:c r="F66" s="76" t="str">
        <x:v>PAS POUR LE MOMENT</x:v>
      </x:c>
      <x:c r="G66" s="76"/>
      <x:c r="H66" s="76" t="str">
        <x:v>Aidedd</x:v>
      </x:c>
      <x:c r="I66" s="76"/>
    </x:row>
    <x:row r="67" ht="24" customHeight="1">
      <x:c r="A67" s="76" t="str">
        <x:v>Enchanter armure -&gt; clignotement</x:v>
      </x:c>
      <x:c r="B67" s="76" t="str">
        <x:v>? </x:v>
      </x:c>
      <x:c r="C67" s="76"/>
      <x:c r="D67" s="76"/>
      <x:c r="E67" s="76"/>
      <x:c r="F67" s="76"/>
      <x:c r="G67" s="76" t="str">
        <x:v>plus 15 000</x:v>
      </x:c>
      <x:c r="H67" s="76" t="str">
        <x:v>Gemmaline</x:v>
      </x:c>
      <x:c r="I67" s="76"/>
    </x:row>
    <x:row r="68" ht="24" customHeight="1">
      <x:c r="A68" s="76" t="str">
        <x:v>Cape of the Mountebank</x:v>
      </x:c>
      <x:c r="B68" s="76" t="str">
        <x:v>Rare</x:v>
      </x:c>
      <x:c r="C68" s="76"/>
      <x:c r="D68" s="76"/>
      <x:c r="E68" s="76"/>
      <x:c r="F68" s="76" t="str">
        <x:v>5K max</x:v>
      </x:c>
      <x:c r="G68" s="76"/>
      <x:c r="H68" s="76" t="str">
        <x:v>Livre dm</x:v>
      </x:c>
      <x:c r="I68" s="76"/>
    </x:row>
    <x:row r="69" ht="24" customHeight="1">
      <x:c r="A69" s="76" t="str">
        <x:v>Manual of bodily health</x:v>
      </x:c>
      <x:c r="B69" s="76" t="str">
        <x:v>Très rare</x:v>
      </x:c>
      <x:c r="C69" s="76"/>
      <x:c r="D69" s="76"/>
      <x:c r="E69" s="76"/>
      <x:c r="F69" s="76" t="str">
        <x:v>PAS POUR LE MOMENT</x:v>
      </x:c>
      <x:c r="G69" s="76"/>
      <x:c r="H69" s="76"/>
      <x:c r="I69" s="76"/>
    </x:row>
    <x:row r="70" ht="24" customHeight="1">
      <x:c r="A70" s="76" t="str">
        <x:v>Chaussons de l'araignée </x:v>
      </x:c>
      <x:c r="B70" s="76" t="str">
        <x:v>Peu commun </x:v>
      </x:c>
      <x:c r="C70" s="76"/>
      <x:c r="D70" s="76"/>
      <x:c r="E70" s="76" t="str">
        <x:v>X</x:v>
      </x:c>
      <x:c r="F70" s="76"/>
      <x:c r="G70" s="76"/>
      <x:c r="H70" s="76"/>
      <x:c r="I70" s="76"/>
    </x:row>
    <x:row r="71" ht="24" customHeight="1">
      <x:c r="A71" s="76" t="str">
        <x:v>Bottes de pas latéral </x:v>
      </x:c>
      <x:c r="B71" s="76" t="str">
        <x:v>? </x:v>
      </x:c>
      <x:c r="C71" s="76"/>
      <x:c r="D71" s="76"/>
      <x:c r="E71" s="76" t="str">
        <x:v>?</x:v>
      </x:c>
      <x:c r="F71" s="76"/>
      <x:c r="G71" s="76" t="n">
        <x:v>3000</x:v>
      </x:c>
      <x:c r="H71" s="76" t="str">
        <x:v>Gemmaline</x:v>
      </x:c>
      <x:c r="I71" s="76"/>
    </x:row>
    <x:row r="72" ht="24" customHeight="1">
      <x:c r="A72" s="76" t="str">
        <x:v>Gants d'incantation mortelle</x:v>
      </x:c>
      <x:c r="B72" s="76" t="str">
        <x:v>? </x:v>
      </x:c>
      <x:c r="C72" s="76"/>
      <x:c r="D72" s="76"/>
      <x:c r="E72" s="76" t="str">
        <x:v>? </x:v>
      </x:c>
      <x:c r="F72" s="76" t="str">
        <x:v>NON</x:v>
      </x:c>
      <x:c r="G72" s="76" t="n">
        <x:v>14000</x:v>
      </x:c>
      <x:c r="H72" s="76" t="str">
        <x:v>Gemmaline</x:v>
      </x:c>
      <x:c r="I72" s="76"/>
    </x:row>
    <x:row r="73" ht="24" customHeight="1">
      <x:c r="A73" s="76" t="str">
        <x:v>Enchanter armure -&gt; changepeau</x:v>
      </x:c>
      <x:c r="B73" s="76"/>
      <x:c r="C73" s="76"/>
      <x:c r="D73" s="76"/>
      <x:c r="E73" s="76" t="str">
        <x:v>?</x:v>
      </x:c>
      <x:c r="F73" s="76" t="str">
        <x:v>A priori, oui</x:v>
      </x:c>
      <x:c r="G73" s="76" t="str">
        <x:v>13 160 pour +1</x:v>
      </x:c>
      <x:c r="H73" s="76" t="str">
        <x:v>Gemmaline</x:v>
      </x:c>
      <x:c r="I73" s="76"/>
    </x:row>
    <x:row r="74" ht="24" customHeight="1">
      <x:c r="A74" s="76" t="str">
        <x:v>Robe de couleurs étincelantes</x:v>
      </x:c>
      <x:c r="B74" s="76" t="str">
        <x:v>Très rare</x:v>
      </x:c>
      <x:c r="C74" s="76"/>
      <x:c r="D74" s="76"/>
      <x:c r="E74" s="76" t="str">
        <x:v>X</x:v>
      </x:c>
      <x:c r="F74" s="76"/>
      <x:c r="G74" s="76"/>
      <x:c r="H74" s="76" t="str">
        <x:v>Aidedd</x:v>
      </x:c>
      <x:c r="I74" s="76"/>
    </x:row>
    <x:row r="75" ht="24" customHeight="1">
      <x:c r="A75" s="76" t="str">
        <x:v>Anneaux de transport</x:v>
      </x:c>
      <x:c r="B75" s="76"/>
      <x:c r="C75" s="76"/>
      <x:c r="D75" s="76"/>
      <x:c r="E75" s="76"/>
      <x:c r="F75" s="76"/>
      <x:c r="G75" s="76"/>
      <x:c r="H75" s="76" t="str">
        <x:v>Gemmaline</x:v>
      </x:c>
      <x:c r="I75" s="76"/>
    </x:row>
    <x:row r="76" ht="24" customHeight="1">
      <x:c r="A76" s="76" t="str">
        <x:v>Cape de l'assassin</x:v>
      </x:c>
      <x:c r="B76" s="76"/>
      <x:c r="C76" s="76"/>
      <x:c r="D76" s="76"/>
      <x:c r="E76" s="76"/>
      <x:c r="F76" s="76" t="str">
        <x:v>WHY NOT, FAUT VOIR</x:v>
      </x:c>
      <x:c r="G76" s="76" t="n">
        <x:v>10000</x:v>
      </x:c>
      <x:c r="H76" s="76" t="str">
        <x:v>Gemmaline</x:v>
      </x:c>
      <x:c r="I76" s="76"/>
    </x:row>
    <x:row r="77" ht="24" customHeight="1">
      <x:c r="A77" s="76" t="str">
        <x:v>Armure +2 changepeau</x:v>
      </x:c>
      <x:c r="B77" s="76"/>
      <x:c r="C77" s="76"/>
      <x:c r="D77" s="76"/>
      <x:c r="E77" s="76"/>
      <x:c r="F77" s="76" t="n">
        <x:v>16000</x:v>
      </x:c>
      <x:c r="G77" s="76"/>
      <x:c r="H77" s="76"/>
      <x:c r="I77" s="76"/>
    </x:row>
    <x:row r="78" ht="24" customHeight="1">
      <x:c r="A78" s="76"/>
      <x:c r="B78" s="76"/>
      <x:c r="C78" s="76"/>
      <x:c r="D78" s="76"/>
      <x:c r="E78" s="76"/>
      <x:c r="F78" s="76"/>
      <x:c r="G78" s="76"/>
      <x:c r="H78" s="76"/>
      <x:c r="I78" s="76"/>
    </x:row>
    <x:row r="79" ht="24" customHeight="1">
      <x:c r="A79" s="76"/>
      <x:c r="B79" s="76"/>
      <x:c r="C79" s="76"/>
      <x:c r="D79" s="76"/>
      <x:c r="E79" s="76"/>
      <x:c r="F79" s="76"/>
      <x:c r="G79" s="76"/>
      <x:c r="H79" s="76"/>
      <x:c r="I79" s="76"/>
    </x:row>
    <x:row r="80" ht="24" customHeight="1">
      <x:c r="A80" s="76"/>
      <x:c r="B80" s="76"/>
      <x:c r="C80" s="76"/>
      <x:c r="D80" s="76"/>
      <x:c r="E80" s="76"/>
      <x:c r="F80" s="76"/>
      <x:c r="G80" s="76"/>
      <x:c r="H80" s="76"/>
      <x:c r="I80" s="76"/>
    </x:row>
    <x:row r="81" ht="24" customHeight="1">
      <x:c r="A81" s="76"/>
      <x:c r="B81" s="76"/>
      <x:c r="C81" s="76"/>
      <x:c r="D81" s="76"/>
      <x:c r="E81" s="76"/>
      <x:c r="F81" s="76"/>
      <x:c r="G81" s="76"/>
      <x:c r="H81" s="76"/>
      <x:c r="I81" s="76"/>
    </x:row>
    <x:row r="82" ht="24" customHeight="1">
      <x:c r="A82" s="76"/>
      <x:c r="B82" s="76" t="str">
        <x:v>MIN</x:v>
      </x:c>
      <x:c r="C82" s="76" t="str">
        <x:v>MAX</x:v>
      </x:c>
      <x:c r="D82" s="76" t="str">
        <x:v>Valeur exacte</x:v>
      </x:c>
      <x:c r="E82" s="76"/>
      <x:c r="F82" s="76"/>
      <x:c r="G82" s="76"/>
      <x:c r="H82" s="76"/>
      <x:c r="I82" s="76"/>
    </x:row>
    <x:row r="83" ht="24" customHeight="1">
      <x:c r="A83" s="76" t="str">
        <x:v>Recopier rituel Contact autre plan</x:v>
      </x:c>
      <x:c r="B83" s="76" t="n">
        <x:v>250</x:v>
      </x:c>
      <x:c r="C83" s="76" t="n">
        <x:v>250</x:v>
      </x:c>
      <x:c r="D83" s="76" t="n">
        <x:v>250</x:v>
      </x:c>
      <x:c r="E83" s="76"/>
      <x:c r="F83" s="76"/>
      <x:c r="G83" s="76"/>
      <x:c r="H83" s="76"/>
      <x:c r="I83" s="76"/>
    </x:row>
    <x:row r="84" ht="24" customHeight="1">
      <x:c r="A84" s="76" t="str">
        <x:v>Sac sans fond</x:v>
      </x:c>
      <x:c r="B84" s="76" t="n">
        <x:v>101</x:v>
      </x:c>
      <x:c r="C84" s="76" t="n">
        <x:v>500</x:v>
      </x:c>
      <x:c r="D84" s="76" t="n">
        <x:v>400</x:v>
      </x:c>
      <x:c r="E84" s="76"/>
      <x:c r="F84" s="76"/>
      <x:c r="G84" s="76"/>
      <x:c r="H84" s="76"/>
      <x:c r="I84" s="76"/>
    </x:row>
    <x:row r="85" ht="24" customHeight="1">
      <x:c r="A85" s="76" t="str">
        <x:v>Cape Mountebank</x:v>
      </x:c>
      <x:c r="B85" s="76" t="n">
        <x:v>501</x:v>
      </x:c>
      <x:c r="C85" s="76" t="n">
        <x:v>5000</x:v>
      </x:c>
      <x:c r="D85" s="76" t="n">
        <x:v>4000</x:v>
      </x:c>
      <x:c r="E85" s="76"/>
      <x:c r="F85" s="76"/>
      <x:c r="G85" s="76"/>
      <x:c r="H85" s="76"/>
      <x:c r="I85" s="76"/>
    </x:row>
    <x:row r="86" ht="24" customHeight="1">
      <x:c r="A86" s="76" t="str">
        <x:v>Anneau de stockage de sorts</x:v>
      </x:c>
      <x:c r="B86" s="76" t="n">
        <x:v>501</x:v>
      </x:c>
      <x:c r="C86" s="76" t="n">
        <x:v>5000</x:v>
      </x:c>
      <x:c r="D86" s="76" t="n">
        <x:v>4312</x:v>
      </x:c>
      <x:c r="E86" s="76"/>
      <x:c r="F86" s="76"/>
      <x:c r="G86" s="76"/>
      <x:c r="H86" s="76"/>
      <x:c r="I86" s="76"/>
    </x:row>
    <x:row r="87" ht="24" customHeight="1">
      <x:c r="A87" s="76" t="str">
        <x:v>Upgrade rod of the pact keeper</x:v>
      </x:c>
      <x:c r="B87" s="76" t="n">
        <x:v>25000</x:v>
      </x:c>
      <x:c r="C87" s="76" t="n">
        <x:v>30000</x:v>
      </x:c>
      <x:c r="D87" s="76" t="n">
        <x:v>19000</x:v>
      </x:c>
      <x:c r="E87" s="76" t="str">
        <x:v>upgrade en +2 dernier tiers</x:v>
      </x:c>
      <x:c r="F87" s="76" t="str">
        <x:v>Une fois par jour, effet repos court sur effets warlock</x:v>
      </x:c>
      <x:c r="G87" s="76"/>
      <x:c r="H87" s="76"/>
      <x:c r="I87" s="76"/>
    </x:row>
    <x:row r="88" ht="24" customHeight="1">
      <x:c r="A88" s="76" t="str">
        <x:v>Enchanter armure de cuir cloutee +1 -&gt; changepeau chgt apparence 5 fois/jour</x:v>
      </x:c>
      <x:c r="B88" s="76"/>
      <x:c r="C88" s="76"/>
      <x:c r="D88" s="76" t="n">
        <x:v>2180</x:v>
      </x:c>
      <x:c r="E88" s="76"/>
      <x:c r="F88" s="76"/>
      <x:c r="G88" s="76"/>
      <x:c r="H88" s="76"/>
      <x:c r="I88" s="76"/>
    </x:row>
    <x:row r="89" ht="24" customHeight="1">
      <x:c r="A89" s="76" t="str">
        <x:v>Armure +2, changepeau permanent </x:v>
      </x:c>
      <x:c r="B89" s="76"/>
      <x:c r="C89" s="76"/>
      <x:c r="D89" s="76" t="n">
        <x:v>14790</x:v>
      </x:c>
      <x:c r="E89" s="76"/>
      <x:c r="F89" s="76"/>
      <x:c r="G89" s="76"/>
      <x:c r="H89" s="76"/>
      <x:c r="I89" s="76"/>
    </x:row>
    <x:row r="90" ht="24" customHeight="1">
      <x:c r="A90" s="76"/>
      <x:c r="B90" s="76"/>
      <x:c r="C90" s="76"/>
      <x:c r="D90" s="76"/>
      <x:c r="E90" s="76"/>
      <x:c r="F90" s="76"/>
      <x:c r="G90" s="76"/>
      <x:c r="H90" s="76"/>
      <x:c r="I90" s="76"/>
    </x:row>
    <x:row r="91" ht="24" customHeight="1">
      <x:c r="A91" s="76"/>
      <x:c r="B91" s="76"/>
      <x:c r="C91" s="76"/>
      <x:c r="D91" s="76"/>
      <x:c r="E91" s="76"/>
      <x:c r="F91" s="76"/>
      <x:c r="G91" s="76"/>
      <x:c r="H91" s="76"/>
      <x:c r="I91" s="76"/>
    </x:row>
    <x:row r="92" ht="24" customHeight="1">
      <x:c r="A92" s="76" t="str">
        <x:v>Tankard of sobriety</x:v>
      </x:c>
      <x:c r="B92" s="76" t="n">
        <x:v>50</x:v>
      </x:c>
      <x:c r="C92" s="76" t="n">
        <x:v>100</x:v>
      </x:c>
      <x:c r="D92" s="76" t="n">
        <x:v>100</x:v>
      </x:c>
      <x:c r="E92" s="76"/>
      <x:c r="F92" s="76"/>
      <x:c r="G92" s="76"/>
      <x:c r="H92" s="76"/>
      <x:c r="I92" s="76"/>
    </x:row>
    <x:row r="93" ht="24" customHeight="1">
      <x:c r="A93" s="76" t="str">
        <x:v>Cleansing stone</x:v>
      </x:c>
      <x:c r="B93" s="76" t="n">
        <x:v>50</x:v>
      </x:c>
      <x:c r="C93" s="76" t="n">
        <x:v>100</x:v>
      </x:c>
      <x:c r="D93" s="76"/>
      <x:c r="E93" s="76"/>
      <x:c r="F93" s="76"/>
      <x:c r="G93" s="76"/>
      <x:c r="H93" s="76"/>
      <x:c r="I93" s="76"/>
    </x:row>
    <x:row r="94" ht="24" customHeight="1">
      <x:c r="A94" s="76" t="str">
        <x:v>Spellshard</x:v>
      </x:c>
      <x:c r="B94" s="76" t="n">
        <x:v>50</x:v>
      </x:c>
      <x:c r="C94" s="76" t="n">
        <x:v>100</x:v>
      </x:c>
      <x:c r="D94" s="76" t="n">
        <x:v>100</x:v>
      </x:c>
      <x:c r="E94" s="76"/>
      <x:c r="F94" s="76"/>
      <x:c r="G94" s="76"/>
      <x:c r="H94" s="76"/>
      <x:c r="I94" s="76"/>
    </x:row>
    <x:row r="95" ht="24" customHeight="1">
      <x:c r="A95" s="76" t="str">
        <x:v>2 potions de soin</x:v>
      </x:c>
      <x:c r="B95" s="76" t="n">
        <x:v>100</x:v>
      </x:c>
      <x:c r="C95" s="76" t="n">
        <x:v>100</x:v>
      </x:c>
      <x:c r="D95" s="76" t="n">
        <x:v>100</x:v>
      </x:c>
      <x:c r="E95" s="76"/>
      <x:c r="F95" s="76"/>
      <x:c r="G95" s="76"/>
      <x:c r="H95" s="76"/>
      <x:c r="I95" s="76"/>
    </x:row>
    <x:row r="96" ht="24" customHeight="1">
      <x:c r="A96" s="76" t="str">
        <x:v>TOTAL</x:v>
      </x:c>
      <x:c r="B96" s="76" t="str">
        <x:v>#REF!</x:v>
      </x:c>
      <x:c r="C96" s="76" t="str">
        <x:v>#REF!</x:v>
      </x:c>
      <x:c r="D96" s="76" t="str">
        <x:v>#REF!</x:v>
      </x:c>
      <x:c r="E96" s="76"/>
      <x:c r="F96" s="76" t="str">
        <x:v>#REF!</x:v>
      </x:c>
      <x:c r="G96" s="76"/>
      <x:c r="H96" s="76"/>
      <x:c r="I96" s="76"/>
    </x:row>
    <x:row r="97" ht="24" customHeight="1">
      <x:c r="A97" s="76"/>
      <x:c r="B97" s="76"/>
      <x:c r="C97" s="76"/>
      <x:c r="D97" s="76"/>
      <x:c r="E97" s="76"/>
      <x:c r="F97" s="76"/>
      <x:c r="G97" s="76"/>
      <x:c r="H97" s="76"/>
      <x:c r="I97" s="76"/>
    </x:row>
    <x:row r="98" ht="24" customHeight="1">
      <x:c r="A98" s="76"/>
      <x:c r="B98" s="76"/>
      <x:c r="C98" s="76"/>
      <x:c r="D98" s="76"/>
      <x:c r="E98" s="76"/>
      <x:c r="F98" s="76"/>
      <x:c r="G98" s="76"/>
      <x:c r="H98" s="76"/>
      <x:c r="I98" s="76"/>
    </x:row>
    <x:row r="99" ht="24" customHeight="1">
      <x:c r="A99" s="76"/>
      <x:c r="B99" s="76"/>
      <x:c r="C99" s="76"/>
      <x:c r="D99" s="76"/>
      <x:c r="E99" s="76"/>
      <x:c r="F99" s="76"/>
      <x:c r="G99" s="76"/>
      <x:c r="H99" s="76"/>
      <x:c r="I99" s="76"/>
    </x:row>
    <x:row r="100" ht="24" customHeight="1">
      <x:c r="A100" s="76"/>
      <x:c r="B100" s="76"/>
      <x:c r="C100" s="76"/>
      <x:c r="D100" s="76"/>
      <x:c r="E100" s="76"/>
      <x:c r="F100" s="76"/>
      <x:c r="G100" s="76"/>
      <x:c r="H100" s="76"/>
      <x:c r="I100" s="76"/>
    </x:row>
    <x:row r="101" ht="24" customHeight="1">
      <x:c r="A101" s="76"/>
      <x:c r="B101" s="76"/>
      <x:c r="C101" s="76"/>
      <x:c r="D101" s="76"/>
      <x:c r="E101" s="76"/>
      <x:c r="F101" s="76"/>
      <x:c r="G101" s="76"/>
      <x:c r="H101" s="76"/>
      <x:c r="I101" s="76"/>
    </x:row>
    <x:row r="102" ht="24" customHeight="1">
      <x:c r="A102" s="76" t="str">
        <x:v>spell gem - comprehension des langues</x:v>
      </x:c>
      <x:c r="B102" s="76" t="str">
        <x:v>peu commun</x:v>
      </x:c>
      <x:c r="C102" s="76"/>
      <x:c r="D102" s="76"/>
      <x:c r="E102" s="76"/>
      <x:c r="F102" s="76"/>
      <x:c r="G102" s="76"/>
      <x:c r="H102" s="76"/>
      <x:c r="I102" s="76"/>
    </x:row>
    <x:row r="103" ht="24" customHeight="1">
      <x:c r="A103" s="76" t="str">
        <x:v>spell gem - silence</x:v>
      </x:c>
      <x:c r="B103" s="76" t="str">
        <x:v>rare</x:v>
      </x:c>
      <x:c r="C103" s="76"/>
      <x:c r="D103" s="76"/>
      <x:c r="E103" s="76"/>
      <x:c r="F103" s="76"/>
      <x:c r="G103" s="76"/>
      <x:c r="H103" s="76"/>
      <x:c r="I103" s="76"/>
    </x:row>
    <x:row r="104" ht="24" customHeight="1">
      <x:c r="A104" s="76" t="str">
        <x:v>upgrade rod of the pact keeper +3</x:v>
      </x:c>
      <x:c r="B104" s="76"/>
      <x:c r="C104" s="76"/>
      <x:c r="D104" s="76"/>
      <x:c r="E104" s="76"/>
      <x:c r="F104" s="76"/>
      <x:c r="G104" s="76"/>
      <x:c r="H104" s="76"/>
      <x:c r="I104" s="76"/>
    </x:row>
    <x:row r="105" ht="24" customHeight="1">
      <x:c r="A105" s="76" t="str">
        <x:v>upgrade armure +3</x:v>
      </x:c>
      <x:c r="B105" s="76"/>
      <x:c r="C105" s="76"/>
      <x:c r="D105" s="76"/>
      <x:c r="E105" s="76"/>
      <x:c r="F105" s="76"/>
      <x:c r="G105" s="76"/>
      <x:c r="H105" s="76"/>
      <x:c r="I105" s="76"/>
    </x:row>
    <x:row r="106" ht="24" customHeight="1">
      <x:c r="A106" s="76" t="str">
        <x:v>amelioration weapon of warning</x:v>
      </x:c>
      <x:c r="B106" s="76" t="str">
        <x:v>peu commun</x:v>
      </x:c>
      <x:c r="C106" s="76" t="str">
        <x:v>avec l'upgrade du rod pact keeper</x:v>
      </x:c>
      <x:c r="D106" s="76" t="n">
        <x:v>36000</x:v>
      </x:c>
      <x:c r="E106" s="76"/>
      <x:c r="F106" s="76"/>
      <x:c r="G106" s="76"/>
      <x:c r="H106" s="76"/>
      <x:c r="I106" s="76"/>
    </x:row>
    <x:row r="107" ht="24" customHeight="1">
      <x:c r="A107" s="76" t="str">
        <x:v>vend amulette de bonne sante</x:v>
      </x:c>
      <x:c r="B107" s="76" t="str">
        <x:v>peu commun</x:v>
      </x:c>
      <x:c r="C107" s="76"/>
      <x:c r="D107" s="76" t="n">
        <x:v>-50</x:v>
      </x:c>
      <x:c r="E107" s="76"/>
      <x:c r="F107" s="76"/>
      <x:c r="G107" s="76"/>
      <x:c r="H107" s="76"/>
      <x:c r="I107" s="76"/>
    </x:row>
    <x:row r="108" ht="24" customHeight="1">
      <x:c r="A108" s="76" t="str">
        <x:v>periapt of proof against poison</x:v>
      </x:c>
      <x:c r="B108" s="76" t="str">
        <x:v>rare</x:v>
      </x:c>
      <x:c r="C108" s="76"/>
      <x:c r="D108" s="76" t="n">
        <x:v>1000</x:v>
      </x:c>
      <x:c r="E108" s="76"/>
      <x:c r="F108" s="76"/>
      <x:c r="G108" s="76"/>
      <x:c r="H108" s="76"/>
      <x:c r="I108" s="76"/>
    </x:row>
    <x:row r="109" ht="24" customHeight="1">
      <x:c r="A109" s="76" t="str">
        <x:v>chercher comment monter en grade chez les menestrels pour passer archimage</x:v>
      </x:c>
      <x:c r="B109" s="76"/>
      <x:c r="C109" s="76"/>
      <x:c r="D109" s="76"/>
      <x:c r="E109" s="76"/>
      <x:c r="F109" s="76"/>
      <x:c r="G109" s="76"/>
      <x:c r="H109" s="76"/>
      <x:c r="I109" s="76"/>
    </x:row>
    <x:row r="110" ht="24" customHeight="1">
      <x:c r="A110" s="76" t="str">
        <x:v>gemme sort topaz 6</x:v>
      </x:c>
      <x:c r="B110" s="76" t="str">
        <x:v>très rare</x:v>
      </x:c>
      <x:c r="C110" s="76"/>
      <x:c r="D110" s="76"/>
      <x:c r="E110" s="76"/>
      <x:c r="F110" s="76"/>
      <x:c r="G110" s="76"/>
      <x:c r="H110" s="76"/>
      <x:c r="I110" s="76"/>
    </x:row>
    <x:row r="111" ht="24" customHeight="1">
      <x:c r="A111" s="76" t="str">
        <x:v>item pour shadow of moil</x:v>
      </x:c>
      <x:c r="B111" s="76"/>
      <x:c r="C111" s="76"/>
      <x:c r="D111" s="76" t="n">
        <x:v>150</x:v>
      </x:c>
      <x:c r="E111" s="76"/>
      <x:c r="F111" s="76"/>
      <x:c r="G111" s="76"/>
      <x:c r="H111" s="76"/>
      <x:c r="I111" s="76"/>
    </x:row>
    <x:row r="112" ht="24" customHeight="1">
      <x:c r="A112" s="76"/>
      <x:c r="B112" s="76"/>
      <x:c r="C112" s="76"/>
      <x:c r="D112" s="76" t="n">
        <x:v>37100</x:v>
      </x:c>
      <x:c r="E112" s="76"/>
      <x:c r="F112" s="76"/>
      <x:c r="G112" s="76"/>
      <x:c r="H112" s="76"/>
      <x:c r="I112" s="76"/>
    </x:row>
    <x:row r="113" ht="24" customHeight="1">
      <x:c r="A113" s="76"/>
      <x:c r="B113" s="76"/>
      <x:c r="C113" s="76"/>
      <x:c r="D113" s="76"/>
      <x:c r="E113" s="76"/>
      <x:c r="F113" s="76"/>
      <x:c r="G113" s="76"/>
      <x:c r="H113" s="76"/>
      <x:c r="I113" s="76"/>
    </x:row>
    <x:row r="114" ht="24" customHeight="1">
      <x:c r="A114" s="76"/>
      <x:c r="B114" s="76"/>
      <x:c r="C114" s="76"/>
      <x:c r="D114" s="76" t="n">
        <x:v>10291</x:v>
      </x:c>
      <x:c r="E114" s="76"/>
      <x:c r="F114" s="76"/>
      <x:c r="G114" s="76"/>
      <x:c r="H114" s="76"/>
      <x:c r="I114" s="76"/>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s>
  <x:sheetData>
    <x:row r="1" ht="24" customHeight="1">
      <x:c r="A1" s="41" t="str">
        <x:v>Priorité</x:v>
      </x:c>
      <x:c r="B1" s="41" t="str">
        <x:v>Objet</x:v>
      </x:c>
      <x:c r="C1" s="41" t="str">
        <x:v>Rareté </x:v>
      </x:c>
      <x:c r="D1" s="41" t="str">
        <x:v>Prix gemmaline</x:v>
      </x:c>
      <x:c r="E1" s="41"/>
      <x:c r="F1" s="41" t="str">
        <x:v>Source</x:v>
      </x:c>
      <x:c r="G1" s="41" t="str">
        <x:v>Prix Bazire</x:v>
      </x:c>
      <x:c r="H1" s="41"/>
      <x:c r="I1" s="41"/>
      <x:c r="J1" s="41"/>
      <x:c r="K1" s="41"/>
      <x:c r="L1" s="41"/>
      <x:c r="M1" s="41"/>
      <x:c r="N1" s="41"/>
    </x:row>
    <x:row r="2" ht="24" customHeight="1">
      <x:c r="A2" s="76" t="n">
        <x:v>1</x:v>
      </x:c>
      <x:c r="B2" s="76" t="str">
        <x:v>Bâton des forets</x:v>
      </x:c>
      <x:c r="C2" s="76" t="str">
        <x:v>Rare</x:v>
      </x:c>
      <x:c r="D2" s="76"/>
      <x:c r="E2" s="76"/>
      <x:c r="F2" s="76" t="str">
        <x:v>Aide dd</x:v>
      </x:c>
      <x:c r="G2" s="76" t="n">
        <x:v>5000</x:v>
      </x:c>
      <x:c r="H2" s="76" t="str">
        <x:v>OK</x:v>
      </x:c>
      <x:c r="I2" s="76"/>
      <x:c r="J2" s="76"/>
      <x:c r="K2" s="76"/>
      <x:c r="L2" s="76"/>
      <x:c r="M2" s="76" t="n">
        <x:v>5000</x:v>
      </x:c>
      <x:c r="N2" s="76" t="str">
        <x:v>1 lien</x:v>
      </x:c>
    </x:row>
    <x:row r="3" ht="24" customHeight="1">
      <x:c r="A3" s="76"/>
      <x:c r="B3" s="76" t="str">
        <x:v>Chasuble de druide</x:v>
      </x:c>
      <x:c r="C3" s="76"/>
      <x:c r="D3" s="76" t="str">
        <x:v>10 000PO</x:v>
      </x:c>
      <x:c r="E3" s="76"/>
      <x:c r="F3" s="76"/>
      <x:c r="G3" s="76"/>
      <x:c r="H3" s="76"/>
      <x:c r="I3" s="76"/>
      <x:c r="J3" s="76"/>
      <x:c r="K3" s="76"/>
      <x:c r="L3" s="76"/>
      <x:c r="M3" s="76"/>
      <x:c r="N3" s="76"/>
    </x:row>
    <x:row r="4" ht="24" customHeight="1">
      <x:c r="A4" s="76" t="n">
        <x:v>2</x:v>
      </x:c>
      <x:c r="B4" s="76" t="str">
        <x:v>Anneau soin mystique</x:v>
      </x:c>
      <x:c r="C4" s="76"/>
      <x:c r="D4" s="76" t="str">
        <x:v>3500PO</x:v>
      </x:c>
      <x:c r="E4" s="76"/>
      <x:c r="F4" s="76" t="str">
        <x:v>Gemmaline</x:v>
      </x:c>
      <x:c r="G4" s="76" t="n">
        <x:v>12800</x:v>
      </x:c>
      <x:c r="H4" s="76"/>
      <x:c r="I4" s="76" t="str">
        <x:v>Construire par rapport à la baguette de boule de feu</x:v>
      </x:c>
      <x:c r="J4" s="76"/>
      <x:c r="K4" s="76"/>
      <x:c r="L4" s="76" t="str">
        <x:v>Retour </x:v>
      </x:c>
      <x:c r="M4" s="76" t="str">
        <x:v>max 12 800</x:v>
      </x:c>
      <x:c r="N4" s="76" t="str">
        <x:v>1 lien</x:v>
      </x:c>
    </x:row>
    <x:row r="5" ht="24" customHeight="1">
      <x:c r="A5" s="76"/>
      <x:c r="B5" s="76" t="str">
        <x:v>Bouclier antiprojectile</x:v>
      </x:c>
      <x:c r="C5" s="76" t="str">
        <x:v>Rare</x:v>
      </x:c>
      <x:c r="D5" s="76"/>
      <x:c r="E5" s="76"/>
      <x:c r="F5" s="76" t="str">
        <x:v>Aide dd</x:v>
      </x:c>
      <x:c r="G5" s="76"/>
      <x:c r="H5" s="76"/>
      <x:c r="I5" s="76"/>
      <x:c r="J5" s="76"/>
      <x:c r="K5" s="76"/>
      <x:c r="L5" s="76"/>
      <x:c r="M5" s="76"/>
      <x:c r="N5" s="76"/>
    </x:row>
    <x:row r="6" ht="24" customHeight="1">
      <x:c r="A6" s="76" t="n">
        <x:v>3</x:v>
      </x:c>
      <x:c r="B6" s="76" t="str">
        <x:v>Anneau de stockage de sort</x:v>
      </x:c>
      <x:c r="C6" s="76" t="str">
        <x:v>Rare</x:v>
      </x:c>
      <x:c r="D6" s="76"/>
      <x:c r="E6" s="76"/>
      <x:c r="F6" s="76" t="str">
        <x:v>Aide dd</x:v>
      </x:c>
      <x:c r="G6" s="76" t="n">
        <x:v>4012</x:v>
      </x:c>
      <x:c r="H6" s="76"/>
      <x:c r="I6" s="76"/>
      <x:c r="J6" s="76"/>
      <x:c r="K6" s="76"/>
      <x:c r="L6" s="76"/>
      <x:c r="M6" s="76" t="str">
        <x:v>Milo : 4012</x:v>
      </x:c>
      <x:c r="N6" s="76" t="str">
        <x:v>1 lien</x:v>
      </x:c>
    </x:row>
    <x:row r="7" ht="24" customHeight="1">
      <x:c r="A7" s="76"/>
      <x:c r="B7" s="76" t="str">
        <x:v>cape d'elfe</x:v>
      </x:c>
      <x:c r="C7" s="76"/>
      <x:c r="D7" s="76" t="n">
        <x:v>2500</x:v>
      </x:c>
      <x:c r="E7" s="76"/>
      <x:c r="F7" s="76" t="str">
        <x:v>Gemmaline</x:v>
      </x:c>
      <x:c r="G7" s="76"/>
      <x:c r="H7" s="76"/>
      <x:c r="I7" s="76"/>
      <x:c r="J7" s="76"/>
      <x:c r="K7" s="76"/>
      <x:c r="L7" s="76"/>
      <x:c r="M7" s="76"/>
      <x:c r="N7" s="76"/>
    </x:row>
    <x:row r="8" ht="24" customHeight="1">
      <x:c r="A8" s="76"/>
      <x:c r="B8" s="76" t="str">
        <x:v>botte d'elfe</x:v>
      </x:c>
      <x:c r="C8" s="76"/>
      <x:c r="D8" s="76" t="n">
        <x:v>2500</x:v>
      </x:c>
      <x:c r="E8" s="76"/>
      <x:c r="F8" s="76" t="str">
        <x:v>Gemmaline</x:v>
      </x:c>
      <x:c r="G8" s="76"/>
      <x:c r="H8" s="76"/>
      <x:c r="I8" s="76"/>
      <x:c r="J8" s="76"/>
      <x:c r="K8" s="76"/>
      <x:c r="L8" s="76"/>
      <x:c r="M8" s="76"/>
      <x:c r="N8" s="76"/>
    </x:row>
    <x:row r="9" ht="24" customHeight="1">
      <x:c r="A9" s="76"/>
      <x:c r="B9" s="76" t="str">
        <x:v>Bâton de guérison </x:v>
      </x:c>
      <x:c r="C9" s="76" t="str">
        <x:v>Rare</x:v>
      </x:c>
      <x:c r="D9" s="76"/>
      <x:c r="E9" s="76"/>
      <x:c r="F9" s="76" t="str">
        <x:v>Aide dd</x:v>
      </x:c>
      <x:c r="G9" s="76"/>
      <x:c r="H9" s="76" t="str">
        <x:v>Non</x:v>
      </x:c>
      <x:c r="I9" s="76"/>
      <x:c r="J9" s="76"/>
      <x:c r="K9" s="76"/>
      <x:c r="L9" s="76"/>
      <x:c r="M9" s="76"/>
      <x:c r="N9" s="76"/>
    </x:row>
    <x:row r="10" ht="24" customHeight="1">
      <x:c r="A10" s="76"/>
      <x:c r="B10" s="76" t="str">
        <x:v>Gants antiprojectile</x:v>
      </x:c>
      <x:c r="C10" s="76" t="str">
        <x:v>Peu commun</x:v>
      </x:c>
      <x:c r="D10" s="76"/>
      <x:c r="E10" s="76"/>
      <x:c r="F10" s="76" t="str">
        <x:v>Aide dd</x:v>
      </x:c>
      <x:c r="G10" s="76"/>
      <x:c r="H10" s="76"/>
      <x:c r="I10" s="76"/>
      <x:c r="J10" s="76"/>
      <x:c r="K10" s="76"/>
      <x:c r="L10" s="76"/>
      <x:c r="M10" s="76"/>
      <x:c r="N10" s="76"/>
    </x:row>
    <x:row r="11" ht="24" customHeight="1">
      <x:c r="A11" s="76"/>
      <x:c r="B11" s="76" t="str">
        <x:v>Forme animale sur mon armure de cuir</x:v>
      </x:c>
      <x:c r="C11" s="76"/>
      <x:c r="D11" s="76"/>
      <x:c r="E11" s="76" t="str">
        <x:v>Bonus +3</x:v>
      </x:c>
      <x:c r="F11" s="76" t="str">
        <x:v>Gemmaline</x:v>
      </x:c>
      <x:c r="G11" s="76"/>
      <x:c r="H11" s="76"/>
      <x:c r="I11" s="76"/>
      <x:c r="J11" s="76"/>
      <x:c r="K11" s="76"/>
      <x:c r="L11" s="76" t="str">
        <x:v> Armure de cuir clouté + 2 7600</x:v>
      </x:c>
      <x:c r="M11" s="76" t="str">
        <x:v>FA 21250</x:v>
      </x:c>
      <x:c r="N11" s="76" t="str">
        <x:v>1 lien</x:v>
      </x:c>
    </x:row>
    <x:row r="12" ht="24" customHeight="1">
      <x:c r="A12" s="76"/>
      <x:c r="B12" s="76" t="str">
        <x:v>Forme animale sur mon bouclier</x:v>
      </x:c>
      <x:c r="C12" s="76"/>
      <x:c r="D12" s="76"/>
      <x:c r="E12" s="76" t="str">
        <x:v>Bonus +3</x:v>
      </x:c>
      <x:c r="F12" s="76" t="str">
        <x:v>Gemmaline</x:v>
      </x:c>
      <x:c r="G12" s="76"/>
      <x:c r="H12" s="76"/>
      <x:c r="I12" s="76"/>
      <x:c r="J12" s="76"/>
      <x:c r="K12" s="76"/>
      <x:c r="L12" s="76"/>
      <x:c r="M12" s="76"/>
      <x:c r="N12" s="76"/>
    </x:row>
    <x:row r="13" ht="24" customHeight="1">
      <x:c r="A13" s="76" t="n">
        <x:v>5</x:v>
      </x:c>
      <x:c r="B13" s="76" t="str">
        <x:v>armure de cuir clouté +2 ( si le prix est raisonnable)</x:v>
      </x:c>
      <x:c r="C13" s="76"/>
      <x:c r="D13" s="76"/>
      <x:c r="E13" s="76"/>
      <x:c r="F13" s="76"/>
      <x:c r="G13" s="76" t="n">
        <x:v>0</x:v>
      </x:c>
      <x:c r="H13" s="76"/>
      <x:c r="I13" s="76"/>
      <x:c r="J13" s="76"/>
      <x:c r="K13" s="76"/>
      <x:c r="L13" s="76"/>
      <x:c r="M13" s="76"/>
      <x:c r="N13" s="76"/>
    </x:row>
    <x:row r="14" ht="24" customHeight="1">
      <x:c r="A14" s="76" t="n">
        <x:v>6</x:v>
      </x:c>
      <x:c r="B14" s="76" t="str">
        <x:v>Sac sans fond</x:v>
      </x:c>
      <x:c r="C14" s="76"/>
      <x:c r="D14" s="76"/>
      <x:c r="E14" s="76"/>
      <x:c r="F14" s="76"/>
      <x:c r="G14" s="76" t="n">
        <x:v>0</x:v>
      </x:c>
      <x:c r="H14" s="76"/>
      <x:c r="I14" s="76"/>
      <x:c r="J14" s="76"/>
      <x:c r="K14" s="76"/>
      <x:c r="L14" s="76"/>
      <x:c r="M14" s="76"/>
      <x:c r="N14" s="76"/>
    </x:row>
    <x:row r="15" ht="24" customHeight="1">
      <x:c r="A15" s="76" t="n">
        <x:v>7</x:v>
      </x:c>
      <x:c r="B15" s="76" t="str">
        <x:v>kit herboriste</x:v>
      </x:c>
      <x:c r="C15" s="76"/>
      <x:c r="D15" s="76"/>
      <x:c r="E15" s="76"/>
      <x:c r="F15" s="76"/>
      <x:c r="G15" s="76" t="n">
        <x:v>5</x:v>
      </x:c>
      <x:c r="H15" s="76"/>
      <x:c r="I15" s="76"/>
      <x:c r="J15" s="76"/>
      <x:c r="K15" s="76"/>
      <x:c r="L15" s="76"/>
      <x:c r="M15" s="76"/>
      <x:c r="N15" s="76"/>
    </x:row>
    <x:row r="16" ht="24" customHeight="1">
      <x:c r="A16" s="76" t="n">
        <x:v>8</x:v>
      </x:c>
      <x:c r="B16" s="76" t="str">
        <x:v>Corde d'escalade ( peu commun) pour me débrouiller quand je suis seule sans utiliser mes transformations</x:v>
      </x:c>
      <x:c r="C16" s="76"/>
      <x:c r="D16" s="76"/>
      <x:c r="E16" s="76"/>
      <x:c r="F16" s="76"/>
      <x:c r="G16" s="76" t="n">
        <x:v>0</x:v>
      </x:c>
      <x:c r="H16" s="76"/>
      <x:c r="I16" s="76"/>
      <x:c r="J16" s="76"/>
      <x:c r="K16" s="76"/>
      <x:c r="L16" s="76"/>
      <x:c r="M16" s="76"/>
      <x:c r="N16" s="76"/>
    </x:row>
    <x:row r="17" ht="24" customHeight="1">
      <x:c r="A17" s="76" t="n">
        <x:v>9</x:v>
      </x:c>
      <x:c r="B17" s="76" t="str">
        <x:v>Pierre de communication ( peu commun) pour permettre au groupe de communiquer si on split ou pour communiquer avec les autres si pb quand je pars seule ( portée illimitée)</x:v>
      </x:c>
      <x:c r="C17" s="76"/>
      <x:c r="D17" s="76"/>
      <x:c r="E17" s="76"/>
      <x:c r="F17" s="76"/>
      <x:c r="G17" s="76" t="n">
        <x:v>0</x:v>
      </x:c>
      <x:c r="H17" s="76"/>
      <x:c r="I17" s="76"/>
      <x:c r="J17" s="76"/>
      <x:c r="K17" s="76"/>
      <x:c r="L17" s="76"/>
      <x:c r="M17" s="76"/>
      <x:c r="N17" s="76"/>
    </x:row>
    <x:row r="18" ht="24" customHeight="1">
      <x:c r="A18" s="76" t="n">
        <x:v>10</x:v>
      </x:c>
      <x:c r="B18" s="76" t="str">
        <x:v>Potion de soin</x:v>
      </x:c>
      <x:c r="C18" s="76" t="str">
        <x:v>Commun</x:v>
      </x:c>
      <x:c r="D18" s="76" t="str">
        <x:v>2d4+2</x:v>
      </x:c>
      <x:c r="E18" s="76" t="n">
        <x:v>50</x:v>
      </x:c>
      <x:c r="F18" s="76" t="n">
        <x:v>0</x:v>
      </x:c>
      <x:c r="G18" s="76" t="n">
        <x:v>0</x:v>
      </x:c>
      <x:c r="H18" s="76"/>
      <x:c r="I18" s="76"/>
      <x:c r="J18" s="76"/>
      <x:c r="K18" s="76"/>
      <x:c r="L18" s="76"/>
      <x:c r="M18" s="76"/>
      <x:c r="N18" s="76"/>
    </x:row>
    <x:row r="19" ht="24" customHeight="1">
      <x:c r="A19" s="76"/>
      <x:c r="B19" s="76" t="str">
        <x:v>Potion de soin supérieur</x:v>
      </x:c>
      <x:c r="C19" s="76" t="str">
        <x:v>peu commun</x:v>
      </x:c>
      <x:c r="D19" s="76" t="str">
        <x:v>4d4+4</x:v>
      </x:c>
      <x:c r="E19" s="76" t="n">
        <x:v>500</x:v>
      </x:c>
      <x:c r="F19" s="76" t="n">
        <x:v>0</x:v>
      </x:c>
      <x:c r="G19" s="76" t="n">
        <x:v>0</x:v>
      </x:c>
      <x:c r="H19" s="76"/>
      <x:c r="I19" s="76"/>
      <x:c r="J19" s="76"/>
      <x:c r="K19" s="76"/>
      <x:c r="L19" s="76"/>
      <x:c r="M19" s="76"/>
      <x:c r="N19" s="76"/>
    </x:row>
    <x:row r="20" ht="24" customHeight="1">
      <x:c r="A20" s="76"/>
      <x:c r="B20" s="76" t="str">
        <x:v>Potion de soin majeur</x:v>
      </x:c>
      <x:c r="C20" s="76" t="str">
        <x:v>rare</x:v>
      </x:c>
      <x:c r="D20" s="76" t="str">
        <x:v>8d4+8</x:v>
      </x:c>
      <x:c r="E20" s="76" t="n">
        <x:v>5000</x:v>
      </x:c>
      <x:c r="F20" s="76" t="n">
        <x:v>0</x:v>
      </x:c>
      <x:c r="G20" s="76" t="n">
        <x:v>0</x:v>
      </x:c>
      <x:c r="H20" s="76"/>
      <x:c r="I20" s="76"/>
      <x:c r="J20" s="76"/>
      <x:c r="K20" s="76"/>
      <x:c r="L20" s="76"/>
      <x:c r="M20" s="76"/>
      <x:c r="N20" s="76"/>
    </x:row>
    <x:row r="21" ht="24" customHeight="1">
      <x:c r="A21" s="76"/>
      <x:c r="B21" s="76" t="str">
        <x:v>Potion supreme</x:v>
      </x:c>
      <x:c r="C21" s="76" t="str">
        <x:v>tres rare</x:v>
      </x:c>
      <x:c r="D21" s="76" t="str">
        <x:v>10d4+20</x:v>
      </x:c>
      <x:c r="E21" s="76" t="n">
        <x:v>50000</x:v>
      </x:c>
      <x:c r="F21" s="76" t="n">
        <x:v>0</x:v>
      </x:c>
      <x:c r="G21" s="76" t="n">
        <x:v>0</x:v>
      </x:c>
      <x:c r="H21" s="76"/>
      <x:c r="I21" s="76"/>
      <x:c r="J21" s="76"/>
      <x:c r="K21" s="76"/>
      <x:c r="L21" s="76"/>
      <x:c r="M21" s="76"/>
      <x:c r="N21" s="76"/>
    </x:row>
    <x:row r="22" ht="24" customHeight="1">
      <x:c r="A22" s="76" t="n">
        <x:v>11</x:v>
      </x:c>
      <x:c r="B22" s="76" t="str">
        <x:v>quelques paquets de poussière de disparition ( peu commun)</x:v>
      </x:c>
      <x:c r="C22" s="76"/>
      <x:c r="D22" s="76"/>
      <x:c r="E22" s="76" t="n">
        <x:v>250</x:v>
      </x:c>
      <x:c r="F22" s="76" t="n">
        <x:v>0</x:v>
      </x:c>
      <x:c r="G22" s="76" t="n">
        <x:v>0</x:v>
      </x:c>
      <x:c r="H22" s="76"/>
      <x:c r="I22" s="76"/>
      <x:c r="J22" s="76"/>
      <x:c r="K22" s="76"/>
      <x:c r="L22" s="76"/>
      <x:c r="M22" s="76"/>
      <x:c r="N22" s="76"/>
    </x:row>
    <x:row r="23" ht="24" customHeight="1">
      <x:c r="A23" s="76" t="n">
        <x:v>12</x:v>
      </x:c>
      <x:c r="B23" s="76" t="str">
        <x:v>Baguette de détection de la magie ( peu commun) , je ne compte pas préparer le sort et au final personne ne va le préparer donc ça peut servir et je n'ai pas besoin d'avoir la baguette en main sauf quand besoin.</x:v>
      </x:c>
      <x:c r="C23" s="76"/>
      <x:c r="D23" s="76"/>
      <x:c r="E23" s="76"/>
      <x:c r="F23" s="76" t="n">
        <x:v>0</x:v>
      </x:c>
      <x:c r="G23" s="76" t="n">
        <x:v>0</x:v>
      </x:c>
      <x:c r="H23" s="76"/>
      <x:c r="I23" s="76"/>
      <x:c r="J23" s="76"/>
      <x:c r="K23" s="76"/>
      <x:c r="L23" s="76"/>
      <x:c r="M23" s="76"/>
      <x:c r="N23" s="76"/>
    </x:row>
    <x:row r="24" ht="24" customHeight="1">
      <x:c r="A24" s="76" t="n">
        <x:v>13</x:v>
      </x:c>
      <x:c r="B24" s="76" t="str">
        <x:v>Des contenants pour les décoction et macération</x:v>
      </x:c>
      <x:c r="C24" s="76"/>
      <x:c r="D24" s="76"/>
      <x:c r="E24" s="76"/>
      <x:c r="F24" s="76"/>
      <x:c r="G24" s="76"/>
      <x:c r="H24" s="76"/>
      <x:c r="I24" s="76"/>
      <x:c r="J24" s="76"/>
      <x:c r="K24" s="76"/>
      <x:c r="L24" s="76"/>
      <x:c r="M24" s="76"/>
      <x:c r="N24" s="76"/>
    </x:row>
    <x:row r="25" ht="24" customHeight="1">
      <x:c r="A25" s="76"/>
      <x:c r="B25" s="76"/>
      <x:c r="C25" s="76"/>
      <x:c r="D25" s="76"/>
      <x:c r="E25" s="76"/>
      <x:c r="F25" s="76"/>
      <x:c r="G25" s="76" t="n">
        <x:v>40688</x:v>
      </x:c>
      <x:c r="H25" s="76"/>
      <x:c r="I25" s="76"/>
      <x:c r="J25" s="76"/>
      <x:c r="K25" s="76"/>
      <x:c r="L25" s="76"/>
      <x:c r="M25" s="76"/>
      <x:c r="N25" s="76"/>
    </x:row>
    <x:row r="26" ht="24" customHeight="1">
      <x:c r="A26" s="76"/>
      <x:c r="B26" s="76"/>
      <x:c r="C26" s="76"/>
      <x:c r="D26" s="76"/>
      <x:c r="E26" s="76"/>
      <x:c r="F26" s="76"/>
      <x:c r="G26" s="76" t="n">
        <x:v>18871</x:v>
      </x:c>
      <x:c r="H26" s="76"/>
      <x:c r="I26" s="76"/>
      <x:c r="J26" s="76"/>
      <x:c r="K26" s="76"/>
      <x:c r="L26" s="76"/>
      <x:c r="M26" s="76"/>
      <x:c r="N26" s="76"/>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4" customHeight="1">
      <x:c r="A1" s="41" t="str">
        <x:v>nom</x:v>
      </x:c>
      <x:c r="B1" s="41" t="str">
        <x:v>lien?</x:v>
      </x:c>
      <x:c r="C1" s="41" t="str">
        <x:v>Valeur</x:v>
      </x:c>
      <x:c r="D1" s="41" t="str">
        <x:v>Rareté </x:v>
      </x:c>
      <x:c r="E1" s="41" t="str">
        <x:v>source</x:v>
      </x:c>
      <x:c r="F1" s="41" t="str">
        <x:v>retenu?</x:v>
      </x:c>
      <x:c r="G1" s="41" t="str">
        <x:v>Prix final </x:v>
      </x:c>
      <x:c r="H1" s="41" t="str">
        <x:v>Commentaire</x:v>
      </x:c>
    </x:row>
    <x:row r="2" ht="24" customHeight="1">
      <x:c r="A2" s="76" t="str">
        <x:v>Bouclier +2</x:v>
      </x:c>
      <x:c r="B2" s="76" t="str">
        <x:v>Non</x:v>
      </x:c>
      <x:c r="C2" s="76" t="n">
        <x:v>6375</x:v>
      </x:c>
      <x:c r="D2" s="76" t="str">
        <x:v>rare</x:v>
      </x:c>
      <x:c r="E2" s="76" t="str">
        <x:v>aidedd</x:v>
      </x:c>
      <x:c r="F2" s="76"/>
      <x:c r="G2" s="76"/>
      <x:c r="H2" s="76"/>
    </x:row>
    <x:row r="3" ht="24" customHeight="1">
      <x:c r="A3" s="76"/>
      <x:c r="B3" s="76"/>
      <x:c r="C3" s="76"/>
      <x:c r="D3" s="76"/>
      <x:c r="E3" s="76"/>
      <x:c r="F3" s="76"/>
      <x:c r="G3" s="76"/>
      <x:c r="H3" s="76"/>
    </x:row>
    <x:row r="4" ht="24" customHeight="1">
      <x:c r="A4" s="76" t="str">
        <x:v>Cape de déplacement </x:v>
      </x:c>
      <x:c r="B4" s="76" t="str">
        <x:v>Oui</x:v>
      </x:c>
      <x:c r="C4" s="76" t="n">
        <x:v>2117</x:v>
      </x:c>
      <x:c r="D4" s="76" t="str">
        <x:v>Rare</x:v>
      </x:c>
      <x:c r="E4" s="76" t="str">
        <x:v>Aidedd</x:v>
      </x:c>
      <x:c r="F4" s="76"/>
      <x:c r="G4" s="76"/>
      <x:c r="H4" s="76" t="str">
        <x:v>jaune et vert à carreaux</x:v>
      </x:c>
    </x:row>
    <x:row r="5" ht="24" customHeight="1">
      <x:c r="A5" s="76" t="str">
        <x:v>2ifier l'armure (5950)</x:v>
      </x:c>
      <x:c r="B5" s="76" t="str">
        <x:v>non</x:v>
      </x:c>
      <x:c r="C5" s="76"/>
      <x:c r="D5" s="76" t="str">
        <x:v>Très rare </x:v>
      </x:c>
      <x:c r="E5" s="76" t="str">
        <x:v>Aidedd</x:v>
      </x:c>
      <x:c r="F5" s="76"/>
      <x:c r="G5" s="76"/>
      <x:c r="H5" s="76" t="str">
        <x:v>-&gt; baton de foudre voirs avec Bazire</x:v>
      </x:c>
    </x:row>
    <x:row r="6" ht="24" customHeight="1">
      <x:c r="A6" s="76" t="str">
        <x:v>outils de bricoleur</x:v>
      </x:c>
      <x:c r="B6" s="76"/>
      <x:c r="C6" s="76" t="str">
        <x:v>50po (outils) + 250PO (1Po/jour pendant 250j pr maîtrise d'outils)</x:v>
      </x:c>
      <x:c r="D6" s="76"/>
      <x:c r="E6" s="76" t="str">
        <x:v>AideDD</x:v>
      </x:c>
      <x:c r="F6" s="76"/>
      <x:c r="G6" s="76"/>
      <x:c r="H6" s="76" t="str">
        <x:v>poura permetre de proposer des petits trics sympa RP dans certaines situations</x:v>
      </x:c>
    </x:row>
    <x:row r="7" ht="24" customHeight="1">
      <x:c r="A7" s="76"/>
      <x:c r="B7" s="76"/>
      <x:c r="C7" s="76"/>
      <x:c r="D7" s="76"/>
      <x:c r="E7" s="76"/>
      <x:c r="F7" s="76"/>
      <x:c r="G7" s="76"/>
      <x:c r="H7" s="76"/>
    </x:row>
    <x:row r="8" ht="24" customHeight="1">
      <x:c r="A8" s="76" t="str">
        <x:v>anneau stockage sort</x:v>
      </x:c>
      <x:c r="B8" s="76" t="str">
        <x:v>OUi</x:v>
      </x:c>
      <x:c r="C8" s="76" t="n">
        <x:v>3140</x:v>
      </x:c>
      <x:c r="D8" s="76" t="str">
        <x:v>rare</x:v>
      </x:c>
      <x:c r="E8" s="76" t="str">
        <x:v>Aidedd</x:v>
      </x:c>
      <x:c r="F8" s="76"/>
      <x:c r="G8" s="76"/>
      <x:c r="H8" s="76"/>
    </x:row>
    <x:row r="9" ht="24" customHeight="1">
      <x:c r="A9" s="76" t="str">
        <x:v>bateau pliable</x:v>
      </x:c>
      <x:c r="B9" s="76" t="str">
        <x:v>non</x:v>
      </x:c>
      <x:c r="C9" s="76" t="n">
        <x:v>3996</x:v>
      </x:c>
      <x:c r="D9" s="76" t="str">
        <x:v>rare</x:v>
      </x:c>
      <x:c r="E9" s="76" t="str">
        <x:v>aidedd</x:v>
      </x:c>
      <x:c r="F9" s="76"/>
      <x:c r="G9" s="76"/>
      <x:c r="H9" s="76" t="str">
        <x:v>MARIN !!!! à customiser à volonté</x:v>
      </x:c>
    </x:row>
    <x:row r="10" ht="24" customHeight="1">
      <x:c r="A10" s="76" t="str">
        <x:v>BOL DE CONTRÔLE DES ÉLÉMENTAIRES DE L'EAU</x:v>
      </x:c>
      <x:c r="B10" s="76" t="str">
        <x:v>non</x:v>
      </x:c>
      <x:c r="C10" s="76" t="n">
        <x:v>3800</x:v>
      </x:c>
      <x:c r="D10" s="76" t="str">
        <x:v>rare</x:v>
      </x:c>
      <x:c r="E10" s="76" t="str">
        <x:v>aidedd</x:v>
      </x:c>
      <x:c r="F10" s="76"/>
      <x:c r="G10" s="76"/>
      <x:c r="H10" s="76" t="str">
        <x:v>copain !!! catalyseur de sorts de vision</x:v>
      </x:c>
    </x:row>
    <x:row r="11" ht="24" customHeight="1">
      <x:c r="A11" s="76"/>
      <x:c r="B11" s="76"/>
      <x:c r="C11" s="76"/>
      <x:c r="D11" s="76"/>
      <x:c r="E11" s="76"/>
      <x:c r="F11" s="76"/>
      <x:c r="G11" s="76"/>
      <x:c r="H11" s="76"/>
    </x:row>
    <x:row r="12" ht="24" customHeight="1">
      <x:c r="A12" s="76" t="str">
        <x:v>Cor du valhala</x:v>
      </x:c>
      <x:c r="B12" s="76"/>
      <x:c r="C12" s="76" t="n">
        <x:v>3800</x:v>
      </x:c>
      <x:c r="D12" s="76"/>
      <x:c r="E12" s="76"/>
      <x:c r="F12" s="76"/>
      <x:c r="G12" s="76"/>
      <x:c r="H12" s="76"/>
    </x:row>
    <x:row r="13" ht="24" customHeight="1">
      <x:c r="A13" s="76"/>
      <x:c r="B13" s="76"/>
      <x:c r="C13" s="76"/>
      <x:c r="D13" s="76"/>
      <x:c r="E13" s="76"/>
      <x:c r="F13" s="76"/>
      <x:c r="G13" s="76"/>
      <x:c r="H13" s="76"/>
    </x:row>
    <x:row r="14" ht="24" customHeight="1">
      <x:c r="A14" s="76"/>
      <x:c r="B14" s="76"/>
      <x:c r="C14" s="76"/>
      <x:c r="D14" s="76"/>
      <x:c r="E14" s="76"/>
      <x:c r="F14" s="76"/>
      <x:c r="G14" s="76"/>
      <x:c r="H14" s="76"/>
    </x:row>
    <x:row r="15" ht="24" customHeight="1">
      <x:c r="A15" s="76" t="str">
        <x:v>Trident des tempêtes</x:v>
      </x:c>
      <x:c r="B15" s="76" t="str">
        <x:v>oui</x:v>
      </x:c>
      <x:c r="C15" s="76"/>
      <x:c r="D15" s="76"/>
      <x:c r="E15" s="76"/>
      <x:c r="F15" s="76"/>
      <x:c r="G15" s="76"/>
      <x:c r="H15" s="76" t="str">
        <x:v>2 attaque, dégat attaquesorts
sorts : 
eclair de sorcière  1
création destruction eau 1
ecriture aerienne 2
controle de l'eau
controle des vents
sacre du vent 6
appel à la foudre
à volonté : 
vent violent 2
envoie des petites décharges régulière
forme tourbillon quand dans eau</x:v>
      </x:c>
    </x:row>
    <x:row r="16" ht="24" customHeight="1">
      <x:c r="A16" s="76"/>
      <x:c r="B16" s="76"/>
      <x:c r="C16" s="76" t="n">
        <x:v>5000</x:v>
      </x:c>
      <x:c r="D16" s="76" t="n">
        <x:v>15642</x:v>
      </x:c>
      <x:c r="E16" s="76"/>
      <x:c r="F16" s="76"/>
      <x:c r="G16" s="76"/>
      <x:c r="H16" s="76"/>
    </x:row>
    <x:row r="17" ht="24" customHeight="1">
      <x:c r="A17" s="76"/>
      <x:c r="B17" s="76"/>
      <x:c r="C17" s="76" t="n">
        <x:v>28228</x:v>
      </x:c>
      <x:c r="D17" s="76"/>
      <x:c r="E17" s="76"/>
      <x:c r="F17" s="76"/>
      <x:c r="G17" s="76"/>
      <x:c r="H17" s="76"/>
    </x:row>
    <x:row r="18" ht="24" customHeight="1">
      <x:c r="A18" s="76" t="str">
        <x:v>anciens achats (démasquer)</x:v>
      </x:c>
      <x:c r="B18" s="76"/>
      <x:c r="C18" s="76"/>
      <x:c r="D18" s="76"/>
      <x:c r="E18" s="76"/>
      <x:c r="F18" s="76"/>
      <x:c r="G18" s="76"/>
      <x:c r="H18" s="76"/>
    </x:row>
    <x:row r="19" ht="24" customHeight="1">
      <x:c r="A19" s="76"/>
      <x:c r="B19" s="76"/>
      <x:c r="C19" s="76"/>
      <x:c r="D19" s="76"/>
      <x:c r="E19" s="76"/>
      <x:c r="F19" s="76"/>
      <x:c r="G19" s="76"/>
      <x:c r="H19" s="76"/>
    </x:row>
    <x:row r="20" ht="24" customHeight="1">
      <x:c r="A20" s="76" t="str">
        <x:v>Objets à chercher</x:v>
      </x:c>
      <x:c r="B20" s="76"/>
      <x:c r="C20" s="76"/>
      <x:c r="D20" s="76"/>
      <x:c r="E20" s="76"/>
      <x:c r="F20" s="76"/>
      <x:c r="G20" s="76"/>
      <x:c r="H20" s="76"/>
    </x:row>
    <x:row r="21" ht="24" customHeight="1">
      <x:c r="A21" s="76" t="str">
        <x:v>amulette de dévotion (+2 ou +3)</x:v>
      </x:c>
      <x:c r="B21" s="76" t="str">
        <x:v>oui</x:v>
      </x:c>
      <x:c r="C21" s="76"/>
      <x:c r="D21" s="76" t="str">
        <x:v>+2 rare / +3 très rare</x:v>
      </x:c>
      <x:c r="E21" s="76" t="str">
        <x:v>http://dnd5e.wikidot.com/wondrous-items:amulet-of-the-devout</x:v>
      </x:c>
      <x:c r="F21" s="76"/>
      <x:c r="G21" s="76"/>
      <x:c r="H21" s="76" t="str">
        <x:v>attention non cumulable avec effet trident</x:v>
      </x:c>
    </x:row>
    <x:row r="22" ht="24" customHeight="1">
      <x:c r="A22" s="76" t="str">
        <x:v>ceinturon tempete</x:v>
      </x:c>
      <x:c r="B22" s="76" t="str">
        <x:v>oui</x:v>
      </x:c>
      <x:c r="C22" s="76"/>
      <x:c r="D22" s="76" t="str">
        <x:v>legendaire</x:v>
      </x:c>
      <x:c r="E22" s="76" t="str">
        <x:v>http://dnd5e.wikidot.com/wondrous-items:stormgirdle</x:v>
      </x:c>
      <x:c r="F22" s="76"/>
      <x:c r="G22" s="76"/>
      <x:c r="H22" s="76"/>
    </x:row>
    <x:row r="23" ht="24" customHeight="1">
      <x:c r="A23" s="76" t="str">
        <x:v>Anneau de contrôle de l'Air Élémentaire</x:v>
      </x:c>
      <x:c r="B23" s="76" t="str">
        <x:v>oui</x:v>
      </x:c>
      <x:c r="C23" s="76"/>
      <x:c r="D23" s="76" t="str">
        <x:v>legendaire</x:v>
      </x:c>
      <x:c r="E23" s="76" t="str">
        <x:v>https://www.aidedd.org/dnd/om.php?vf=anneau-de-controle-des-elementaires</x:v>
      </x:c>
      <x:c r="F23" s="76"/>
      <x:c r="G23" s="76"/>
      <x:c r="H23" s="76"/>
    </x:row>
    <x:row r="24" ht="24" customHeight="1">
      <x:c r="A24" s="76" t="str">
        <x:v>Vague</x:v>
      </x:c>
      <x:c r="B24" s="76" t="str">
        <x:v>oui</x:v>
      </x:c>
      <x:c r="C24" s="76"/>
      <x:c r="D24" s="76" t="str">
        <x:v>legendaire</x:v>
      </x:c>
      <x:c r="E24" s="76" t="str">
        <x:v>https://www.aidedd.org/dnd/om.php?vf=vague</x:v>
      </x:c>
      <x:c r="F24" s="76"/>
      <x:c r="G24" s="76"/>
      <x:c r="H24" s="76"/>
    </x:row>
    <x:row r="25" ht="24" customHeight="1">
      <x:c r="A25" s="76"/>
      <x:c r="B25" s="76"/>
      <x:c r="C25" s="76"/>
      <x:c r="D25" s="76"/>
      <x:c r="E25" s="76"/>
      <x:c r="F25" s="76"/>
      <x:c r="G25" s="76"/>
      <x:c r="H25" s="76"/>
    </x:row>
    <x:row r="26" ht="24" customHeight="1">
      <x:c r="A26" s="76" t="str">
        <x:v>Amélioration équipement existant</x:v>
      </x:c>
      <x:c r="B26" s="76"/>
      <x:c r="C26" s="76"/>
      <x:c r="D26" s="76"/>
      <x:c r="E26" s="76"/>
      <x:c r="F26" s="76"/>
      <x:c r="G26" s="76"/>
      <x:c r="H26" s="76"/>
    </x:row>
    <x:row r="27" ht="24" customHeight="1">
      <x:c r="A27" s="76" t="str">
        <x:v>+3ifier l'armure</x:v>
      </x:c>
      <x:c r="B27" s="76" t="str">
        <x:v>non</x:v>
      </x:c>
      <x:c r="C27" s="76" t="n">
        <x:v>22950</x:v>
      </x:c>
      <x:c r="D27" s="76"/>
      <x:c r="E27" s="76" t="str">
        <x:v>base</x:v>
      </x:c>
      <x:c r="F27" s="76" t="str">
        <x:v>oui</x:v>
      </x:c>
      <x:c r="G27" s="76" t="n">
        <x:v>17500</x:v>
      </x:c>
      <x:c r="H27" s="76"/>
    </x:row>
    <x:row r="28" ht="24" customHeight="1">
      <x:c r="A28" s="76" t="str">
        <x:v>+3ifier le bouclier</x:v>
      </x:c>
      <x:c r="B28" s="76" t="str">
        <x:v>non</x:v>
      </x:c>
      <x:c r="C28" s="76" t="n">
        <x:v>22950</x:v>
      </x:c>
      <x:c r="D28" s="76"/>
      <x:c r="E28" s="76" t="str">
        <x:v>base</x:v>
      </x:c>
      <x:c r="F28" s="76" t="str">
        <x:v>oui</x:v>
      </x:c>
      <x:c r="G28" s="76" t="n">
        <x:v>0</x:v>
      </x:c>
      <x:c r="H28" s="76"/>
    </x:row>
    <x:row r="29" ht="24" customHeight="1">
      <x:c r="A29" s="76"/>
      <x:c r="B29" s="76"/>
      <x:c r="C29" s="76"/>
      <x:c r="D29" s="76"/>
      <x:c r="E29" s="76"/>
      <x:c r="F29" s="76"/>
      <x:c r="G29" s="76"/>
      <x:c r="H29" s="76"/>
    </x:row>
    <x:row r="30" ht="24" customHeight="1">
      <x:c r="A30" s="76" t="str">
        <x:v>Enchantement équipement existant </x:v>
      </x:c>
      <x:c r="B30" s="76"/>
      <x:c r="C30" s="76"/>
      <x:c r="D30" s="76"/>
      <x:c r="E30" s="76"/>
      <x:c r="F30" s="76"/>
      <x:c r="G30" s="76"/>
      <x:c r="H30" s="76"/>
    </x:row>
    <x:row r="31" ht="24" customHeight="1">
      <x:c r="A31" s="76" t="str">
        <x:v>bouclier gardesort +3 (2 slots pris)</x:v>
      </x:c>
      <x:c r="B31" s="76" t="str">
        <x:v>oui</x:v>
      </x:c>
      <x:c r="C31" s="76" t="n">
        <x:v>41500</x:v>
      </x:c>
      <x:c r="D31" s="76" t="str">
        <x:v>très rare</x:v>
      </x:c>
      <x:c r="E31" s="76" t="str">
        <x:v>https://www.aidedd.org/dnd/om.php?vf=bouclier-gardesort</x:v>
      </x:c>
      <x:c r="F31" s="76" t="str">
        <x:v>oui</x:v>
      </x:c>
      <x:c r="G31" s="76" t="n">
        <x:v>41500</x:v>
      </x:c>
      <x:c r="H31" s="76"/>
    </x:row>
    <x:row r="32" ht="24" customHeight="1">
      <x:c r="A32" s="76"/>
      <x:c r="B32" s="76"/>
      <x:c r="C32" s="76"/>
      <x:c r="D32" s="76"/>
      <x:c r="E32" s="76"/>
      <x:c r="F32" s="76"/>
      <x:c r="G32" s="76"/>
      <x:c r="H32" s="76"/>
    </x:row>
    <x:row r="33" ht="24" customHeight="1">
      <x:c r="A33" s="76"/>
      <x:c r="B33" s="76"/>
      <x:c r="C33" s="76"/>
      <x:c r="D33" s="76"/>
      <x:c r="E33" s="76"/>
      <x:c r="F33" s="76"/>
      <x:c r="G33" s="76"/>
      <x:c r="H33" s="76"/>
    </x:row>
    <x:row r="34" ht="24" customHeight="1">
      <x:c r="A34" s="76"/>
      <x:c r="B34" s="76" t="str">
        <x:v>argent actuel</x:v>
      </x:c>
      <x:c r="C34" s="76" t="n">
        <x:v>71672</x:v>
      </x:c>
      <x:c r="D34" s="76"/>
      <x:c r="E34" s="76"/>
      <x:c r="F34" s="76"/>
      <x:c r="G34" s="76"/>
      <x:c r="H34" s="76"/>
    </x:row>
    <x:row r="35" ht="24" customHeight="1">
      <x:c r="A35" s="76"/>
      <x:c r="B35" s="76" t="str">
        <x:v>total achats</x:v>
      </x:c>
      <x:c r="C35" s="76" t="n">
        <x:v>59000</x:v>
      </x:c>
      <x:c r="D35" s="76"/>
      <x:c r="E35" s="76"/>
      <x:c r="F35" s="76"/>
      <x:c r="G35" s="76"/>
      <x:c r="H35" s="76"/>
    </x:row>
    <x:row r="36" ht="24" customHeight="1">
      <x:c r="A36" s="76"/>
      <x:c r="B36" s="76" t="str">
        <x:v>argent restant</x:v>
      </x:c>
      <x:c r="C36" s="76" t="n">
        <x:v>12672</x:v>
      </x:c>
      <x:c r="D36" s="76"/>
      <x:c r="E36" s="76"/>
      <x:c r="F36" s="76"/>
      <x:c r="G36" s="76"/>
      <x:c r="H36" s="76"/>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40" hidden="0" customWidth="1"/>
    <x:col min="2" max="2" width="33" hidden="0" customWidth="1"/>
    <x:col min="3" max="3" width="22" hidden="0" customWidth="1"/>
    <x:col min="4" max="4" width="22" hidden="0" customWidth="1"/>
    <x:col min="5" max="5" width="22" hidden="0" customWidth="1"/>
  </x:cols>
  <x:sheetData>
    <x:row r="1" ht="24" customHeight="1">
      <x:c r="A1" s="41" t="str">
        <x:v>Améliorations :</x:v>
      </x:c>
      <x:c r="B1" s="41"/>
      <x:c r="C1" s="41"/>
      <x:c r="D1" s="41"/>
      <x:c r="E1" s="41"/>
    </x:row>
    <x:row r="2" ht="24" customHeight="1">
      <x:c r="A2" s="76" t="str">
        <x:v>Objet :</x:v>
      </x:c>
      <x:c r="B2" s="76" t="str">
        <x:v>Amélioration souhaité:</x:v>
      </x:c>
      <x:c r="C2" s="76"/>
      <x:c r="D2" s="76"/>
      <x:c r="E2" s="76"/>
    </x:row>
    <x:row r="3" ht="24" customHeight="1">
      <x:c r="A3" s="76" t="str">
        <x:v>sceptre de défense </x:v>
      </x:c>
      <x:c r="B3" s="76" t="str">
        <x:v>Contre sort</x:v>
      </x:c>
      <x:c r="C3" s="76" t="str">
        <x:v>globle d'invulnérabilité</x:v>
      </x:c>
      <x:c r="D3" s="76"/>
      <x:c r="E3" s="76"/>
    </x:row>
    <x:row r="4" ht="24" customHeight="1">
      <x:c r="A4" s="76" t="str">
        <x:v>Armure de plates en adamantium</x:v>
      </x:c>
      <x:c r="B4" s="76" t="str">
        <x:v>"+1"</x:v>
      </x:c>
      <x:c r="C4" s="76" t="str">
        <x:v>protection contre les armes </x:v>
      </x:c>
      <x:c r="D4" s="76" t="str">
        <x:v>Absorption des éléments</x:v>
      </x:c>
      <x:c r="E4" s="76" t="str">
        <x:v>(le cas échéant un enchantement "cape de déplacement" sans lien)</x:v>
      </x:c>
    </x:row>
    <x:row r="5" ht="24" customHeight="1">
      <x:c r="A5" s="76"/>
      <x:c r="B5" s="76"/>
      <x:c r="C5" s="76" t="str">
        <x:v>Armure lourde discrete ?</x:v>
      </x:c>
      <x:c r="D5" s="76" t="str">
        <x:v>Donne des PV supplementaires temporaire ou max tant que je porte l'armure et se regen une fois par jour au lever du soleil ?</x:v>
      </x:c>
      <x:c r="E5" s="76"/>
    </x:row>
    <x:row r="6" ht="24" customHeight="1">
      <x:c r="A6" s="76"/>
      <x:c r="B6" s="76"/>
      <x:c r="C6" s="76"/>
      <x:c r="D6" s="76"/>
      <x:c r="E6" s="76"/>
    </x:row>
    <x:row r="7" ht="24" customHeight="1">
      <x:c r="A7" s="76" t="str">
        <x:v>Questions : </x:v>
      </x:c>
      <x:c r="B7" s="76" t="str">
        <x:v>Protection contre les armes (niveau 0) et Absorption des éléments (Niveau 1) sont des sort actif et ne peuvent pas être lancer en réaction initialement, Si j'ajoute ces sorts sur l'armure, fonctionnera-t-elel comme mon sceptre avec des charges ou en passif ?</x:v>
      </x:c>
      <x:c r="C7" s="76"/>
      <x:c r="D7" s="76"/>
      <x:c r="E7" s="76"/>
    </x:row>
    <x:row r="8" ht="24" customHeight="1">
      <x:c r="A8" s="76"/>
      <x:c r="B8" s="76" t="str">
        <x:v>Est-il possible de faire d'un sort actif un enchantement passif ?</x:v>
      </x:c>
      <x:c r="C8" s="76"/>
      <x:c r="D8" s="76"/>
      <x:c r="E8" s="76"/>
    </x:row>
    <x:row r="9" ht="24" customHeight="1">
      <x:c r="A9" s="76"/>
      <x:c r="B9" s="76" t="str">
        <x:v>Si on enchante un objet avec un sort provenant d'un objet nécessitant un lien, l'enchantemant aussi doit être lié?</x:v>
      </x:c>
      <x:c r="C9" s="76"/>
      <x:c r="D9" s="76"/>
      <x:c r="E9" s="76"/>
    </x:row>
    <x:row r="10" ht="24" customHeight="1">
      <x:c r="A10" s="76"/>
      <x:c r="B10" s="76"/>
      <x:c r="C10" s="76"/>
      <x:c r="D10" s="76"/>
      <x:c r="E10" s="76"/>
    </x:row>
    <x:row r="11" ht="24" customHeight="1">
      <x:c r="A11" s="76" t="str">
        <x:v>En cours de recherche :</x:v>
      </x:c>
      <x:c r="B11" s="76" t="str">
        <x:v>Arme "vampirique" qui vole les points de vie lorsqu'il fait des dégats pour le combiner à mon amulette de cicatrisation qui double ma régène de point de vie à chaque fois que je me soigne</x:v>
      </x:c>
      <x:c r="C11" s="76"/>
      <x:c r="D11" s="76"/>
      <x:c r="E11" s="76"/>
    </x:row>
    <x:row r="12" ht="24" customHeight="1">
      <x:c r="A12" s="76"/>
      <x:c r="B12" s="76"/>
      <x:c r="C12" s="76"/>
      <x:c r="D12" s="76"/>
      <x:c r="E12" s="76"/>
    </x:row>
    <x:row r="13" ht="24" customHeight="1">
      <x:c r="A13" s="76" t="str">
        <x:v>Objet :</x:v>
      </x:c>
      <x:c r="B13" s="76" t="str">
        <x:v>Type</x:v>
      </x:c>
      <x:c r="C13" s="76" t="str">
        <x:v>Lien</x:v>
      </x:c>
      <x:c r="D13" s="76" t="str">
        <x:v>Prix?</x:v>
      </x:c>
      <x:c r="E13" s="76"/>
    </x:row>
    <x:row r="14" ht="24" customHeight="1">
      <x:c r="A14" s="76" t="str">
        <x:v>Cape de déplacement</x:v>
      </x:c>
      <x:c r="B14" s="76" t="str">
        <x:v>Merveilleux</x:v>
      </x:c>
      <x:c r="C14" s="76" t="str">
        <x:v>Oui</x:v>
      </x:c>
      <x:c r="D14" s="76"/>
      <x:c r="E14" s="76"/>
    </x:row>
    <x:row r="15" ht="24" customHeight="1">
      <x:c r="A15" s="76" t="str">
        <x:v>Sac à malice (rouille ou ocre)</x:v>
      </x:c>
      <x:c r="B15" s="76" t="str">
        <x:v>Merveilleux</x:v>
      </x:c>
      <x:c r="C15" s="76"/>
      <x:c r="D15" s="76"/>
      <x:c r="E15" s="76"/>
    </x:row>
  </x:sheetData>
  <x:pageMargins left="0.7" right="0.7" top="0.75" bottom="0.75" header="0.3" footer="0.3"/>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2" hidden="0" customWidth="1"/>
    <x:col min="4" max="4" width="16" hidden="0" customWidth="1"/>
    <x:col min="5" max="5" width="29" hidden="0" customWidth="1"/>
    <x:col min="6" max="6" width="28" hidden="0" customWidth="1"/>
    <x:col min="7" max="7" width="44" hidden="0" customWidth="1"/>
    <x:col min="8" max="8" width="27" hidden="0" customWidth="1"/>
  </x:cols>
  <x:sheetData>
    <x:row r="1" ht="34" customHeight="1">
      <x:c r="A1" s="87" t="str">
        <x:v>RÉFÉRENTIEL — propriétés d'enchantement adaptées pour D&amp;D 5e</x:v>
      </x:c>
      <x:c r="B1" s="87"/>
      <x:c r="C1" s="87"/>
      <x:c r="D1" s="87"/>
      <x:c r="E1" s="87"/>
      <x:c r="F1" s="87"/>
      <x:c r="G1" s="87"/>
      <x:c r="H1" s="87"/>
    </x:row>
    <x:row r="2" ht="30" customHeight="1">
      <x:c r="A2" s="90" t="str">
        <x:v>Les valeurs ici sont celles du système maison, indépendantes des équivalences D&amp;D 3.5. Les effets doivent être adaptés séparément.</x:v>
      </x:c>
      <x:c r="B2" s="90"/>
      <x:c r="C2" s="90"/>
      <x:c r="D2" s="90"/>
      <x:c r="E2" s="90"/>
      <x:c r="F2" s="90"/>
      <x:c r="G2" s="90"/>
      <x:c r="H2" s="90"/>
    </x:row>
    <x:row r="4" ht="28" customHeight="1">
      <x:c r="A4" s="94" t="str">
        <x:v>Propriété</x:v>
      </x:c>
      <x:c r="B4" s="94" t="str">
        <x:v>Équivalence maison (+)</x:v>
      </x:c>
      <x:c r="C4" s="94" t="str">
        <x:v>État</x:v>
      </x:c>
      <x:c r="D4" s="94" t="str">
        <x:v>Catégorie</x:v>
      </x:c>
      <x:c r="E4" s="94" t="str">
        <x:v>Effet mécanique 5e</x:v>
      </x:c>
      <x:c r="F4" s="94" t="str">
        <x:v>Source</x:v>
      </x:c>
      <x:c r="G4" s="94" t="str">
        <x:v>Points à confirmer</x:v>
      </x:c>
      <x:c r="H4" s="94" t="str">
        <x:v>Exemple</x:v>
      </x:c>
    </x:row>
    <x:row r="5" ht="50" customHeight="1">
      <x:c r="A5" s="95" t="str">
        <x:v>Feu</x:v>
      </x:c>
      <x:c r="B5" s="99" t="n">
        <x:v>1</x:v>
      </x:c>
      <x:c r="C5" s="95" t="str">
        <x:v>Exemple source</x:v>
      </x:c>
      <x:c r="D5" s="95" t="str">
        <x:v>Arme</x:v>
      </x:c>
      <x:c r="E5" s="95" t="str">
        <x:v>À définir explicitement</x:v>
      </x:c>
      <x:c r="F5" s="95" t="str">
        <x:v>Règles!A21:B21</x:v>
      </x:c>
      <x:c r="G5" s="95" t="str">
        <x:v>Dés, type et activation</x:v>
      </x:c>
      <x:c r="H5" s="95" t="str">
        <x:v>Arme +1 avec feu (+1)</x:v>
      </x:c>
    </x:row>
    <x:row r="6" ht="50" customHeight="1">
      <x:c r="A6" s="95" t="str">
        <x:v>Sournoise</x:v>
      </x:c>
      <x:c r="B6" s="99" t="n">
        <x:v>1</x:v>
      </x:c>
      <x:c r="C6" s="95" t="str">
        <x:v>Confirmé pour l'exemple</x:v>
      </x:c>
      <x:c r="D6" s="95" t="str">
        <x:v>Arc/arme</x:v>
      </x:c>
      <x:c r="E6" s="95" t="str">
        <x:v>À adapter depuis 3.5</x:v>
      </x:c>
      <x:c r="F6" s="95" t="str">
        <x:v>Règles!A24:B24</x:v>
      </x:c>
      <x:c r="G6" s="95" t="str">
        <x:v>Condition d'activation, dégâts additionnels</x:v>
      </x:c>
      <x:c r="H6" s="95" t="str">
        <x:v>Arc +2 sournois frugale</x:v>
      </x:c>
    </x:row>
    <x:row r="7" ht="50" customHeight="1">
      <x:c r="A7" s="95" t="str">
        <x:v>Frugale</x:v>
      </x:c>
      <x:c r="B7" s="99" t="n">
        <x:v>1</x:v>
      </x:c>
      <x:c r="C7" s="95" t="str">
        <x:v>Confirmé par le MJ</x:v>
      </x:c>
      <x:c r="D7" s="95" t="str">
        <x:v>Arc/arme</x:v>
      </x:c>
      <x:c r="E7" s="95" t="str">
        <x:v>À adapter depuis 3.5</x:v>
      </x:c>
      <x:c r="F7" s="95" t="str">
        <x:v>Décision MJ 22/10/2026</x:v>
      </x:c>
      <x:c r="G7" s="95" t="str">
        <x:v>Effet exact, consommation de munitions</x:v>
      </x:c>
      <x:c r="H7" s="95" t="str">
        <x:v>Arc +2 sournois frugale</x:v>
      </x:c>
    </x:row>
    <x:row r="8" ht="50" customHeight="1">
      <x:c r="A8" s="95" t="str">
        <x:v>Gardesort</x:v>
      </x:c>
      <x:c r="B8" s="99"/>
      <x:c r="C8" s="95" t="str">
        <x:v>À définir</x:v>
      </x:c>
      <x:c r="D8" s="95" t="str">
        <x:v>Bouclier</x:v>
      </x:c>
      <x:c r="E8" s="95" t="str">
        <x:v>À documenter</x:v>
      </x:c>
      <x:c r="F8" s="95" t="str">
        <x:v>Flo!A31:G31</x:v>
      </x:c>
      <x:c r="G8" s="95" t="str">
        <x:v>Équivalence non validée ; +2 utilisé comme hypothèse dans un devis</x:v>
      </x:c>
      <x:c r="H8" s="95" t="str">
        <x:v>Bouclier +3 gardesort</x:v>
      </x:c>
    </x:row>
    <x:row r="9" ht="50" customHeight="1">
      <x:c r="A9" s="95" t="str">
        <x:v>Esquive</x:v>
      </x:c>
      <x:c r="B9" s="99"/>
      <x:c r="C9" s="95" t="str">
        <x:v>À définir</x:v>
      </x:c>
      <x:c r="D9" s="95" t="str">
        <x:v>Armure</x:v>
      </x:c>
      <x:c r="E9" s="95" t="str">
        <x:v>À documenter</x:v>
      </x:c>
      <x:c r="F9" s="95" t="str">
        <x:v>Thibault!A7:F7</x:v>
      </x:c>
      <x:c r="G9" s="95" t="str">
        <x:v>Adaptation 5e et valeur d'enchantement</x:v>
      </x:c>
      <x:c r="H9" s="95" t="str">
        <x:v>Cuir clouté +1 d'esquive</x:v>
      </x:c>
    </x:row>
    <x:row r="11" ht="26" customHeight="1">
      <x:c r="A11" s="97" t="str">
        <x:v>Lecture : une propriété +1 augmente le NIVEAU DE COÛT de 1, pas le bonus d'attaque, de dégâts, ou de CA de +1.</x:v>
      </x:c>
      <x:c r="B11" s="97"/>
      <x:c r="C11" s="97"/>
      <x:c r="D11" s="97"/>
      <x:c r="E11" s="97"/>
      <x:c r="F11" s="97"/>
      <x:c r="G11" s="97"/>
      <x:c r="H11" s="97"/>
    </x:row>
    <x:row r="12" ht="26" customHeight="1">
      <x:c r="A12" s="97" t="str">
        <x:v>Exemple arc +2 : altération 3 + Sournoise 1 + Frugale 1 = niveau total 5 → 25 000 po.</x:v>
      </x:c>
      <x:c r="B12" s="97"/>
      <x:c r="C12" s="97"/>
      <x:c r="D12" s="97"/>
      <x:c r="E12" s="97"/>
      <x:c r="F12" s="97"/>
      <x:c r="G12" s="97"/>
      <x:c r="H12" s="97"/>
    </x:row>
  </x:sheetData>
  <x:mergeCells>
    <x:mergeCell ref="A1:H1"/>
    <x:mergeCell ref="A2:H2"/>
    <x:mergeCell ref="A11:H11"/>
    <x:mergeCell ref="A12:H12"/>
  </x:mergeCells>
  <x:pageMargins left="0.7" right="0.7" top="0.75" bottom="0.75" header="0.3" footer="0.3"/>
</x:worksheet>
</file>