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205bc404894b32" /></Relationships>
</file>

<file path=xl/workbook.xml><?xml version="1.0" encoding="utf-8"?>
<x:workbook xmlns:x="http://schemas.openxmlformats.org/spreadsheetml/2006/main">
  <x:sheets>
    <x:sheet xmlns:r="http://schemas.openxmlformats.org/officeDocument/2006/relationships" name="01 - Guide" sheetId="1" r:id="R8c178dd8216945de"/>
    <x:sheet xmlns:r="http://schemas.openxmlformats.org/officeDocument/2006/relationships" name="02 - Barème" sheetId="2" r:id="R587186aa72674310"/>
    <x:sheet xmlns:r="http://schemas.openxmlformats.org/officeDocument/2006/relationships" name="03 - Devis forge" sheetId="3" r:id="R718e2c06e8bb46d6"/>
    <x:sheet xmlns:r="http://schemas.openxmlformats.org/officeDocument/2006/relationships" name="04 - Demandes" sheetId="4" r:id="Rb043a80b77dd4062"/>
    <x:sheet xmlns:r="http://schemas.openxmlformats.org/officeDocument/2006/relationships" name="05 - Suivi financier" sheetId="5" r:id="R5fe8bfcb963048cf"/>
    <x:sheet xmlns:r="http://schemas.openxmlformats.org/officeDocument/2006/relationships" name="06 - Arbitrages MJ" sheetId="6" r:id="Ra08674c7162c478b"/>
    <x:sheet xmlns:r="http://schemas.openxmlformats.org/officeDocument/2006/relationships" name="SRC - Règles" sheetId="7" r:id="Rfbbe62acb5a24798"/>
    <x:sheet xmlns:r="http://schemas.openxmlformats.org/officeDocument/2006/relationships" name="SRC - Thibault" sheetId="8" r:id="R2ff8dc569da2448b"/>
    <x:sheet xmlns:r="http://schemas.openxmlformats.org/officeDocument/2006/relationships" name="SRC - Thaïs" sheetId="9" r:id="Rb0a24bce593d463d"/>
    <x:sheet xmlns:r="http://schemas.openxmlformats.org/officeDocument/2006/relationships" name="SRC - Nono" sheetId="10" r:id="R1e23e0c9a99740c5"/>
    <x:sheet xmlns:r="http://schemas.openxmlformats.org/officeDocument/2006/relationships" name="SRC - Flo" sheetId="11" r:id="Rd4073891b7ab4aef"/>
    <x:sheet xmlns:r="http://schemas.openxmlformats.org/officeDocument/2006/relationships" name="SRC - Marty" sheetId="12" r:id="R5da50358a7fa4486"/>
    <x:sheet xmlns:r="http://schemas.openxmlformats.org/officeDocument/2006/relationships" name="07 - Enchantements" sheetId="13" r:id="R3048bed7563c47dd"/>
    <x:sheet xmlns:r="http://schemas.openxmlformats.org/officeDocument/2006/relationships" name="08 - Prix variables d20" sheetId="14" r:id="Rcb336997c5d04670"/>
    <x:sheet xmlns:r="http://schemas.openxmlformats.org/officeDocument/2006/relationships" name="09 - Plafonds et aleas" sheetId="15" r:id="Rd364d64dbadb4c7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 &quot;po&quot;"/>
    <x:numFmt numFmtId="202" formatCode="#,##0"/>
    <x:numFmt numFmtId="203" formatCode="0"/>
    <x:numFmt numFmtId="204" formatCode="0.0%"/>
    <x:numFmt numFmtId="205" formatCode="#,##0&quot; po&quot;"/>
  </x:numFmts>
  <x:fonts count="28">
    <x:font>
      <x:sz val="11"/>
      <x:name val="Carlito"/>
    </x:font>
    <x:font>
      <x:b/>
      <x:sz val="16"/>
      <x:color rgb="FFFFFFFF"/>
      <x:name val="Carlito"/>
    </x:font>
    <x:font>
      <x:sz val="10"/>
      <x:color rgb="FF1D2833"/>
      <x:name val="Carlito"/>
    </x:font>
    <x:font>
      <x:b/>
      <x:sz val="11"/>
      <x:color rgb="FFFFFFFF"/>
      <x:name val="Carlito"/>
    </x:font>
    <x:font>
      <x:sz val="11"/>
      <x:color rgb="FF1D2833"/>
      <x:name val="Carlito"/>
    </x:font>
    <x:font>
      <x:b/>
      <x:sz val="11"/>
      <x:color rgb="FF1D2833"/>
      <x:name val="Carlito"/>
    </x:font>
    <x:font>
      <x:b/>
      <x:sz val="11"/>
      <x:color rgb="FF116A74"/>
      <x:name val="Carlito"/>
    </x:font>
    <x:font>
      <x:b/>
      <x:sz val="15"/>
      <x:color rgb="FFFFFFFF"/>
      <x:name val="Carlito"/>
    </x:font>
    <x:font>
      <x:sz val="10"/>
      <x:color rgb="FF36566A"/>
      <x:name val="Carlito"/>
    </x:font>
    <x:font>
      <x:b/>
      <x:sz val="17"/>
      <x:color rgb="FFFFFFFF"/>
      <x:name val="Carlito"/>
    </x:font>
    <x:font>
      <x:sz val="10"/>
      <x:color rgb="FF253646"/>
      <x:name val="Carlito"/>
    </x:font>
    <x:font>
      <x:b/>
      <x:sz val="10"/>
      <x:color rgb="FFFFFFFF"/>
      <x:name val="Carlito"/>
    </x:font>
    <x:font>
      <x:b/>
      <x:sz val="11"/>
      <x:color rgb="FF126782"/>
      <x:name val="Carlito"/>
    </x:font>
    <x:font>
      <x:sz val="11"/>
      <x:name val="Aptos"/>
    </x:font>
    <x:font>
      <x:sz val="10"/>
      <x:name val="Aptos"/>
    </x:font>
    <x:font>
      <x:sz val="10"/>
      <x:color rgb="FF1C2D3A"/>
      <x:name val="Aptos"/>
    </x:font>
    <x:font>
      <x:b/>
      <x:sz val="17"/>
      <x:color rgb="FFFFFFFF"/>
      <x:name val="Aptos"/>
    </x:font>
    <x:font>
      <x:sz val="10"/>
      <x:color rgb="FF64748B"/>
      <x:name val="Aptos"/>
    </x:font>
    <x:font>
      <x:b/>
      <x:sz val="11"/>
      <x:color rgb="FFFFFFFF"/>
      <x:name val="Aptos"/>
    </x:font>
    <x:font>
      <x:b/>
      <x:sz val="10"/>
      <x:color rgb="FFFFFFFF"/>
      <x:name val="Aptos"/>
    </x:font>
    <x:font>
      <x:b/>
      <x:sz val="10"/>
      <x:color rgb="FF18334A"/>
      <x:name val="Aptos"/>
    </x:font>
    <x:font>
      <x:b/>
      <x:sz val="10"/>
      <x:color rgb="FF126983"/>
      <x:name val="Aptos"/>
    </x:font>
    <x:font>
      <x:b/>
      <x:sz val="10"/>
      <x:color rgb="FF166534"/>
      <x:name val="Aptos"/>
    </x:font>
    <x:font>
      <x:b/>
      <x:sz val="10"/>
      <x:color rgb="FF7C4D16"/>
      <x:name val="Aptos"/>
    </x:font>
    <x:font>
      <x:b/>
      <x:sz val="11"/>
      <x:color rgb="FF166534"/>
      <x:name val="Carlito"/>
    </x:font>
    <x:font>
      <x:b/>
      <x:sz val="11"/>
      <x:name val="Carlito"/>
    </x:font>
    <x:font>
      <x:b/>
      <x:sz val="11"/>
      <x:color rgb="FF126983"/>
      <x:name val="Carlito"/>
    </x:font>
    <x:font>
      <x:b/>
      <x:sz val="17"/>
      <x:color rgb="FFA63A32"/>
      <x:name val="Carlito"/>
    </x:font>
  </x:fonts>
  <x:fills count="32">
    <x:fill>
      <x:patternFill patternType="none"/>
    </x:fill>
    <x:fill>
      <x:patternFill patternType="gray125"/>
    </x:fill>
    <x:fill>
      <x:patternFill patternType="solid">
        <x:fgColor rgb="FF17263D"/>
      </x:patternFill>
    </x:fill>
    <x:fill>
      <x:patternFill patternType="solid">
        <x:fgColor rgb="FFE8EEF5"/>
      </x:patternFill>
    </x:fill>
    <x:fill>
      <x:patternFill patternType="solid">
        <x:fgColor rgb="FF116A74"/>
      </x:patternFill>
    </x:fill>
    <x:fill>
      <x:patternFill patternType="solid">
        <x:fgColor rgb="FFF5F7FA"/>
      </x:patternFill>
    </x:fill>
    <x:fill>
      <x:patternFill patternType="solid">
        <x:fgColor rgb="FFFFFFFF"/>
      </x:patternFill>
    </x:fill>
    <x:fill>
      <x:patternFill patternType="solid">
        <x:fgColor rgb="FFD9EFF0"/>
      </x:patternFill>
    </x:fill>
    <x:fill>
      <x:patternFill patternType="solid">
        <x:fgColor rgb="FFFFF0D0"/>
      </x:patternFill>
    </x:fill>
    <x:fill>
      <x:patternFill patternType="solid">
        <x:fgColor rgb="FFEAF5F6"/>
      </x:patternFill>
    </x:fill>
    <x:fill>
      <x:patternFill patternType="solid">
        <x:fgColor rgb="FFFFF4D8"/>
      </x:patternFill>
    </x:fill>
    <x:fill>
      <x:patternFill patternType="solid">
        <x:fgColor rgb="FFF3F8F9"/>
      </x:patternFill>
    </x:fill>
    <x:fill>
      <x:patternFill patternType="solid">
        <x:fgColor rgb="FFFFF3D9"/>
      </x:patternFill>
    </x:fill>
    <x:fill>
      <x:patternFill patternType="solid">
        <x:fgColor rgb="FF152C3C"/>
      </x:patternFill>
    </x:fill>
    <x:fill>
      <x:patternFill patternType="solid">
        <x:fgColor rgb="FFEDF5FA"/>
      </x:patternFill>
    </x:fill>
    <x:fill>
      <x:patternFill patternType="solid">
        <x:fgColor rgb="FF226B80"/>
      </x:patternFill>
    </x:fill>
    <x:fill>
      <x:patternFill patternType="solid">
        <x:fgColor rgb="FFE8F1F5"/>
      </x:patternFill>
    </x:fill>
    <x:fill>
      <x:patternFill patternType="solid">
        <x:fgColor rgb="FFE1F1FF"/>
      </x:patternFill>
    </x:fill>
    <x:fill>
      <x:patternFill patternType="solid">
        <x:fgColor rgb="FF20364F"/>
      </x:patternFill>
    </x:fill>
    <x:fill>
      <x:patternFill patternType="solid">
        <x:fgColor rgb="FF183247"/>
      </x:patternFill>
    </x:fill>
    <x:fill>
      <x:patternFill patternType="solid">
        <x:fgColor rgb="FFEAF0F4"/>
      </x:patternFill>
    </x:fill>
    <x:fill>
      <x:patternFill patternType="solid">
        <x:fgColor rgb="FF126782"/>
      </x:patternFill>
    </x:fill>
    <x:fill>
      <x:patternFill patternType="solid">
        <x:fgColor rgb="FFF5F8FB"/>
      </x:patternFill>
    </x:fill>
    <x:fill>
      <x:patternFill patternType="solid">
        <x:fgColor rgb="FFDCEFFA"/>
      </x:patternFill>
    </x:fill>
    <x:fill>
      <x:patternFill patternType="solid">
        <x:fgColor rgb="FFEAF5EF"/>
      </x:patternFill>
    </x:fill>
    <x:fill>
      <x:patternFill patternType="solid">
        <x:fgColor rgb="FFFEF1D5"/>
      </x:patternFill>
    </x:fill>
    <x:fill>
      <x:patternFill patternType="solid">
        <x:fgColor rgb="FF18334A"/>
      </x:patternFill>
    </x:fill>
    <x:fill>
      <x:patternFill patternType="solid">
        <x:fgColor rgb="FFF1F6FA"/>
      </x:patternFill>
    </x:fill>
    <x:fill>
      <x:patternFill patternType="solid">
        <x:fgColor rgb="FF126983"/>
      </x:patternFill>
    </x:fill>
    <x:fill>
      <x:patternFill patternType="solid">
        <x:fgColor rgb="FFE5F2F7"/>
      </x:patternFill>
    </x:fill>
    <x:fill>
      <x:patternFill patternType="solid">
        <x:fgColor rgb="FFFFF2D8"/>
      </x:patternFill>
    </x:fill>
    <x:fill>
      <x:patternFill patternType="solid">
        <x:fgColor rgb="FFE3F3E9"/>
      </x:patternFill>
    </x:fill>
  </x:fills>
  <x:borders count="2">
    <x:border/>
    <x:border/>
  </x:borders>
  <x:cellStyleXfs count="1">
    <x:xf numFmtId="0" fontId="0" fillId="0" borderId="0"/>
  </x:cellStyleXfs>
  <x:cellXfs count="1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200" fontId="5" fillId="7" borderId="0" xfId="0" applyNumberFormat="1" applyFont="1" applyFill="1" applyBorder="1"/>
    <x:xf numFmtId="200" fontId="5" fillId="7"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center"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center" wrapText="1"/>
    </x:xf>
    <x:xf numFmtId="201" fontId="0" fillId="0" borderId="0" xfId="0" applyNumberFormat="1" applyFont="1" applyFill="1" applyBorder="1"/>
    <x:xf numFmtId="201" fontId="3" fillId="4" borderId="0" xfId="0" applyNumberFormat="1" applyFont="1" applyFill="1" applyBorder="1" applyAlignment="1">
      <x:alignment vertical="center" wrapText="1"/>
    </x:xf>
    <x:xf numFmtId="201" fontId="0" fillId="0" borderId="1" xfId="0" applyNumberFormat="1" applyFont="1" applyFill="1" applyBorder="1"/>
    <x:xf numFmtId="201" fontId="3" fillId="4" borderId="1" xfId="0" applyNumberFormat="1" applyFont="1" applyFill="1" applyBorder="1" applyAlignment="1">
      <x:alignment vertical="center" wrapText="1"/>
    </x:xf>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202" fontId="0" fillId="0" borderId="0" xfId="0" applyNumberFormat="1" applyFont="1" applyFill="1" applyBorder="1"/>
    <x:xf numFmtId="202" fontId="0" fillId="9" borderId="0" xfId="0" applyNumberFormat="1" applyFont="1" applyFill="1" applyBorder="1"/>
    <x:xf numFmtId="202" fontId="0" fillId="10" borderId="0" xfId="0" applyNumberFormat="1" applyFont="1" applyFill="1" applyBorder="1"/>
    <x:xf numFmtId="202" fontId="0" fillId="0" borderId="1" xfId="0" applyNumberFormat="1" applyFont="1" applyFill="1" applyBorder="1"/>
    <x:xf numFmtId="202" fontId="0" fillId="9" borderId="1" xfId="0" applyNumberFormat="1" applyFont="1" applyFill="1" applyBorder="1"/>
    <x:xf numFmtId="202" fontId="0" fillId="10" borderId="1" xfId="0" applyNumberFormat="1" applyFont="1" applyFill="1" applyBorder="1"/>
    <x:xf numFmtId="200" fontId="0" fillId="9" borderId="0" xfId="0" applyNumberFormat="1" applyFont="1" applyFill="1" applyBorder="1"/>
    <x:xf numFmtId="200" fontId="0" fillId="9"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1" xfId="0" applyNumberFormat="1" applyFont="1" applyFill="1" applyBorder="1" applyAlignment="1">
      <x:alignment wrapText="1"/>
    </x:xf>
    <x:xf numFmtId="201" fontId="0" fillId="12" borderId="0" xfId="0" applyNumberFormat="1" applyFont="1" applyFill="1" applyBorder="1"/>
    <x:xf numFmtId="201" fontId="0" fillId="12" borderId="1" xfId="0" applyNumberFormat="1" applyFont="1" applyFill="1" applyBorder="1"/>
    <x:xf numFmtId="201" fontId="0" fillId="10" borderId="0" xfId="0" applyNumberFormat="1" applyFont="1" applyFill="1" applyBorder="1"/>
    <x:xf numFmtId="201" fontId="0" fillId="10" borderId="1" xfId="0" applyNumberFormat="1" applyFont="1" applyFill="1" applyBorder="1"/>
    <x:xf numFmtId="0" fontId="0" fillId="0" borderId="0" xfId="0" applyNumberFormat="1" applyFont="1" applyFill="1" applyBorder="1"/>
    <x:xf numFmtId="0" fontId="0" fillId="13" borderId="0" xfId="0" applyNumberFormat="1" applyFont="1" applyFill="1" applyBorder="1"/>
    <x:xf numFmtId="0" fontId="7" fillId="13" borderId="0" xfId="0" applyNumberFormat="1" applyFont="1" applyFill="1" applyBorder="1"/>
    <x:xf numFmtId="0" fontId="7" fillId="13" borderId="0" xfId="0" applyNumberFormat="1" applyFont="1" applyFill="1" applyBorder="1" applyAlignment="1">
      <x:alignment vertical="center"/>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16" borderId="0" xfId="0" applyNumberFormat="1" applyFont="1" applyFill="1" applyBorder="1"/>
    <x:xf numFmtId="0" fontId="0" fillId="16" borderId="0" xfId="0" applyNumberFormat="1" applyFont="1" applyFill="1" applyBorder="1" applyAlignment="1">
      <x:alignment wrapText="1"/>
    </x:xf>
    <x:xf numFmtId="203" fontId="0" fillId="0" borderId="0" xfId="0" applyNumberFormat="1" applyFont="1" applyFill="1" applyBorder="1" applyAlignment="1">
      <x:alignment vertical="center" wrapText="1"/>
    </x:xf>
    <x:xf numFmtId="203" fontId="0" fillId="17" borderId="0" xfId="0" applyNumberFormat="1" applyFont="1" applyFill="1" applyBorder="1" applyAlignment="1">
      <x:alignment vertical="center"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center" wrapText="1"/>
    </x:xf>
    <x:xf numFmtId="0" fontId="3" fillId="18" borderId="0" xfId="0" applyNumberFormat="1" applyFont="1" applyFill="1" applyBorder="1" applyAlignment="1">
      <x:alignment horizontal="center" vertical="center" wrapText="1"/>
    </x:xf>
    <x:xf numFmtId="0" fontId="0" fillId="19" borderId="0" xfId="0" applyNumberFormat="1" applyFont="1" applyFill="1" applyBorder="1"/>
    <x:xf numFmtId="0" fontId="9" fillId="19" borderId="0" xfId="0" applyNumberFormat="1" applyFont="1" applyFill="1" applyBorder="1"/>
    <x:xf numFmtId="0" fontId="9" fillId="19" borderId="0" xfId="0" applyNumberFormat="1" applyFont="1" applyFill="1" applyBorder="1" applyAlignment="1">
      <x:alignment vertical="center"/>
    </x:xf>
    <x:xf numFmtId="0" fontId="0" fillId="20" borderId="0" xfId="0" applyNumberFormat="1" applyFont="1" applyFill="1" applyBorder="1"/>
    <x:xf numFmtId="0" fontId="10" fillId="20" borderId="0" xfId="0" applyNumberFormat="1" applyFont="1" applyFill="1" applyBorder="1"/>
    <x:xf numFmtId="0" fontId="10" fillId="20" borderId="0" xfId="0" applyNumberFormat="1" applyFont="1" applyFill="1" applyBorder="1" applyAlignment="1">
      <x:alignment wrapText="1"/>
    </x:xf>
    <x:xf numFmtId="0" fontId="10" fillId="20" borderId="0" xfId="0" applyNumberFormat="1" applyFont="1" applyFill="1" applyBorder="1" applyAlignment="1">
      <x:alignment vertical="center"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vertical="center"/>
    </x:xf>
    <x:xf numFmtId="0" fontId="11" fillId="19" borderId="0" xfId="0" applyNumberFormat="1" applyFont="1" applyFill="1" applyBorder="1"/>
    <x:xf numFmtId="0" fontId="11" fillId="19" borderId="0" xfId="0" applyNumberFormat="1" applyFont="1" applyFill="1" applyBorder="1" applyAlignment="1">
      <x:alignment wrapText="1"/>
    </x:xf>
    <x:xf numFmtId="0" fontId="11" fillId="19" borderId="0" xfId="0" applyNumberFormat="1" applyFont="1" applyFill="1" applyBorder="1" applyAlignment="1">
      <x:alignment vertical="center" wrapText="1"/>
    </x:xf>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0" fillId="24" borderId="0" xfId="0" applyNumberFormat="1" applyFont="1" applyFill="1" applyBorder="1" applyAlignment="1">
      <x:alignment wrapText="1"/>
    </x:xf>
    <x:xf numFmtId="0" fontId="12" fillId="24" borderId="0" xfId="0" applyNumberFormat="1" applyFont="1" applyFill="1" applyBorder="1" applyAlignment="1">
      <x:alignment wrapText="1"/>
    </x:xf>
    <x:xf numFmtId="0" fontId="12" fillId="24" borderId="0" xfId="0" applyNumberFormat="1" applyFont="1" applyFill="1" applyBorder="1" applyAlignment="1">
      <x:alignment horizontal="center" wrapText="1"/>
    </x:xf>
    <x:xf numFmtId="0" fontId="0" fillId="25" borderId="0" xfId="0" applyNumberFormat="1" applyFont="1" applyFill="1" applyBorder="1" applyAlignment="1">
      <x:alignment wrapText="1"/>
    </x:xf>
    <x:xf numFmtId="0" fontId="10" fillId="25" borderId="0" xfId="0" applyNumberFormat="1" applyFont="1" applyFill="1" applyBorder="1" applyAlignment="1">
      <x:alignment wrapText="1"/>
    </x:xf>
    <x:xf numFmtId="0" fontId="0" fillId="25" borderId="0" xfId="0" applyNumberFormat="1" applyFont="1" applyFill="1" applyBorder="1"/>
    <x:xf numFmtId="0" fontId="10" fillId="25" borderId="0" xfId="0" applyNumberFormat="1" applyFont="1" applyFill="1" applyBorder="1"/>
    <x:xf numFmtId="0" fontId="10" fillId="25" borderId="0" xfId="0" applyNumberFormat="1" applyFont="1" applyFill="1" applyBorder="1" applyAlignment="1">
      <x:alignment vertical="center" wrapText="1"/>
    </x:xf>
    <x:xf numFmtId="201" fontId="0" fillId="23" borderId="0" xfId="0" applyNumberFormat="1" applyFont="1" applyFill="1" applyBorder="1"/>
    <x:xf numFmtId="201" fontId="0" fillId="22" borderId="0" xfId="0" applyNumberFormat="1" applyFont="1" applyFill="1" applyBorder="1"/>
    <x:xf numFmtId="201" fontId="0" fillId="24" borderId="0" xfId="0" applyNumberFormat="1" applyFont="1" applyFill="1" applyBorder="1"/>
    <x:xf numFmtId="204" fontId="0" fillId="24" borderId="0" xfId="0" applyNumberFormat="1" applyFont="1" applyFill="1" applyBorder="1"/>
    <x:xf numFmtId="204" fontId="0" fillId="23" borderId="0" xfId="0" applyNumberFormat="1" applyFont="1" applyFill="1" applyBorder="1"/>
    <x:xf numFmtId="201" fontId="12" fillId="24" borderId="0" xfId="0" applyNumberFormat="1" applyFont="1" applyFill="1" applyBorder="1" applyAlignment="1">
      <x:alignment horizontal="center" wrapText="1"/>
    </x:xf>
    <x:xf numFmtId="201" fontId="0" fillId="24" borderId="0" xfId="0" applyNumberFormat="1" applyFont="1" applyFill="1" applyBorder="1" applyAlignment="1">
      <x:alignment vertical="center"/>
    </x:xf>
    <x:xf numFmtId="0" fontId="0" fillId="22" borderId="0" xfId="0" applyNumberFormat="1" applyFont="1" applyFill="1" applyBorder="1" applyAlignment="1">
      <x:alignment vertical="center"/>
    </x:xf>
    <x:xf numFmtId="0" fontId="0" fillId="0" borderId="0" xfId="0" applyNumberFormat="1" applyFont="1" applyFill="1" applyBorder="1" applyAlignment="1">
      <x:alignment vertical="center"/>
    </x:xf>
    <x:xf numFmtId="201" fontId="0" fillId="22" borderId="0" xfId="0" applyNumberFormat="1" applyFont="1" applyFill="1" applyBorder="1" applyAlignment="1">
      <x:alignment vertical="center"/>
    </x:xf>
    <x:xf numFmtId="0" fontId="0" fillId="24" borderId="0" xfId="0" applyNumberFormat="1" applyFont="1" applyFill="1" applyBorder="1" applyAlignment="1">
      <x:alignment vertical="center"/>
    </x:xf>
    <x:xf numFmtId="204" fontId="0" fillId="24"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0" fillId="22" borderId="0" xfId="0" applyNumberFormat="1" applyFont="1" applyFill="1" applyBorder="1" applyAlignment="1">
      <x:alignment vertical="center" wrapText="1"/>
    </x:xf>
    <x:xf numFmtId="0" fontId="0" fillId="22" borderId="0" xfId="0" applyNumberFormat="1" applyFont="1" applyFill="1" applyBorder="1" applyAlignment="1">
      <x:alignment wrapText="1"/>
    </x:xf>
    <x:xf numFmtId="201" fontId="0" fillId="22" borderId="0" xfId="0" applyNumberFormat="1" applyFont="1" applyFill="1" applyBorder="1" applyAlignment="1">
      <x:alignment wrapText="1"/>
    </x:xf>
    <x:xf numFmtId="201" fontId="0" fillId="23" borderId="0" xfId="0" applyNumberFormat="1" applyFont="1" applyFill="1" applyBorder="1" applyAlignment="1">
      <x:alignment wrapText="1"/>
    </x:xf>
    <x:xf numFmtId="0" fontId="0" fillId="23" borderId="0" xfId="0" applyNumberFormat="1" applyFont="1" applyFill="1" applyBorder="1" applyAlignment="1">
      <x:alignment wrapText="1"/>
    </x:xf>
    <x:xf numFmtId="201" fontId="0" fillId="24" borderId="0" xfId="0" applyNumberFormat="1" applyFont="1" applyFill="1" applyBorder="1" applyAlignment="1">
      <x:alignment vertical="center" wrapText="1"/>
    </x:xf>
    <x:xf numFmtId="201" fontId="0" fillId="0" borderId="0" xfId="0" applyNumberFormat="1" applyFont="1" applyFill="1" applyBorder="1" applyAlignment="1">
      <x:alignment wrapText="1"/>
    </x:xf>
    <x:xf numFmtId="0" fontId="13" fillId="0" borderId="0" xfId="0" applyNumberFormat="1" applyFont="1" applyFill="1" applyBorder="1"/>
    <x:xf numFmtId="0" fontId="14" fillId="0" borderId="0" xfId="0" applyNumberFormat="1" applyFont="1" applyFill="1" applyBorder="1"/>
    <x:xf numFmtId="0" fontId="15" fillId="0" borderId="0" xfId="0" applyNumberFormat="1" applyFont="1" applyFill="1" applyBorder="1"/>
    <x:xf numFmtId="0" fontId="15" fillId="26" borderId="0" xfId="0" applyNumberFormat="1" applyFont="1" applyFill="1" applyBorder="1"/>
    <x:xf numFmtId="0" fontId="16" fillId="26" borderId="0" xfId="0" applyNumberFormat="1" applyFont="1" applyFill="1" applyBorder="1"/>
    <x:xf numFmtId="0" fontId="16" fillId="26" borderId="0" xfId="0" applyNumberFormat="1" applyFont="1" applyFill="1" applyBorder="1" applyAlignment="1">
      <x:alignment vertical="center"/>
    </x:xf>
    <x:xf numFmtId="0" fontId="15" fillId="27" borderId="0" xfId="0" applyNumberFormat="1" applyFont="1" applyFill="1" applyBorder="1"/>
    <x:xf numFmtId="0" fontId="17" fillId="27" borderId="0" xfId="0" applyNumberFormat="1" applyFont="1" applyFill="1" applyBorder="1"/>
    <x:xf numFmtId="0" fontId="17" fillId="27" borderId="0" xfId="0" applyNumberFormat="1" applyFont="1" applyFill="1" applyBorder="1" applyAlignment="1">
      <x:alignment vertical="center"/>
    </x:xf>
    <x:xf numFmtId="0" fontId="15" fillId="28" borderId="0" xfId="0" applyNumberFormat="1" applyFont="1" applyFill="1" applyBorder="1"/>
    <x:xf numFmtId="0" fontId="18" fillId="28" borderId="0" xfId="0" applyNumberFormat="1" applyFont="1" applyFill="1" applyBorder="1"/>
    <x:xf numFmtId="0" fontId="18" fillId="28" borderId="0" xfId="0" applyNumberFormat="1" applyFont="1" applyFill="1" applyBorder="1" applyAlignment="1">
      <x:alignment vertical="center"/>
    </x:xf>
    <x:xf numFmtId="0" fontId="19" fillId="26" borderId="0" xfId="0" applyNumberFormat="1" applyFont="1" applyFill="1" applyBorder="1"/>
    <x:xf numFmtId="0" fontId="19" fillId="26" borderId="0" xfId="0" applyNumberFormat="1" applyFont="1" applyFill="1" applyBorder="1" applyAlignment="1">
      <x:alignment wrapText="1"/>
    </x:xf>
    <x:xf numFmtId="0" fontId="19" fillId="26" borderId="0" xfId="0" applyNumberFormat="1" applyFont="1" applyFill="1" applyBorder="1" applyAlignment="1">
      <x:alignment vertical="center" wrapText="1"/>
    </x:xf>
    <x:xf numFmtId="0" fontId="20" fillId="27" borderId="0" xfId="0" applyNumberFormat="1" applyFont="1" applyFill="1" applyBorder="1"/>
    <x:xf numFmtId="0" fontId="15" fillId="0" borderId="0" xfId="0" applyNumberFormat="1" applyFont="1" applyFill="1" applyBorder="1" applyAlignment="1">
      <x:alignment wrapText="1"/>
    </x:xf>
    <x:xf numFmtId="0" fontId="15" fillId="29" borderId="0" xfId="0" applyNumberFormat="1" applyFont="1" applyFill="1" applyBorder="1"/>
    <x:xf numFmtId="0" fontId="21" fillId="29" borderId="0" xfId="0" applyNumberFormat="1" applyFont="1" applyFill="1" applyBorder="1"/>
    <x:xf numFmtId="0" fontId="21" fillId="29" borderId="0" xfId="0" applyNumberFormat="1" applyFont="1" applyFill="1" applyBorder="1" applyAlignment="1">
      <x:alignment horizontal="right"/>
    </x:xf>
    <x:xf numFmtId="0" fontId="15" fillId="30" borderId="0" xfId="0" applyNumberFormat="1" applyFont="1" applyFill="1" applyBorder="1"/>
    <x:xf numFmtId="0" fontId="15" fillId="30" borderId="0" xfId="0" applyNumberFormat="1" applyFont="1" applyFill="1" applyBorder="1" applyAlignment="1">
      <x:alignment wrapText="1"/>
    </x:xf>
    <x:xf numFmtId="0" fontId="15" fillId="30" borderId="0" xfId="0" applyNumberFormat="1" applyFont="1" applyFill="1" applyBorder="1" applyAlignment="1">
      <x:alignment vertical="center" wrapText="1"/>
    </x:xf>
    <x:xf numFmtId="0" fontId="15" fillId="31" borderId="0" xfId="0" applyNumberFormat="1" applyFont="1" applyFill="1" applyBorder="1"/>
    <x:xf numFmtId="0" fontId="22" fillId="31" borderId="0" xfId="0" applyNumberFormat="1" applyFont="1" applyFill="1" applyBorder="1"/>
    <x:xf numFmtId="0" fontId="21" fillId="0" borderId="0" xfId="0" applyNumberFormat="1" applyFont="1" applyFill="1" applyBorder="1"/>
    <x:xf numFmtId="0" fontId="23" fillId="30" borderId="0" xfId="0" applyNumberFormat="1" applyFont="1" applyFill="1" applyBorder="1"/>
    <x:xf numFmtId="0" fontId="23" fillId="30" borderId="0" xfId="0" applyNumberFormat="1" applyFont="1" applyFill="1" applyBorder="1" applyAlignment="1">
      <x:alignment vertical="center"/>
    </x:xf>
    <x:xf numFmtId="205" fontId="15" fillId="0" borderId="0" xfId="0" applyNumberFormat="1" applyFont="1" applyFill="1" applyBorder="1"/>
    <x:xf numFmtId="205" fontId="15" fillId="27" borderId="0" xfId="0" applyNumberFormat="1" applyFont="1" applyFill="1" applyBorder="1"/>
    <x:xf numFmtId="205" fontId="22" fillId="31" borderId="0" xfId="0" applyNumberFormat="1" applyFont="1" applyFill="1" applyBorder="1"/>
    <x:xf numFmtId="204" fontId="15" fillId="0" borderId="0" xfId="0" applyNumberFormat="1" applyFont="1" applyFill="1" applyBorder="1"/>
    <x:xf numFmtId="203" fontId="15" fillId="29" borderId="0" xfId="0" applyNumberFormat="1" applyFont="1" applyFill="1" applyBorder="1"/>
    <x:xf numFmtId="0" fontId="17" fillId="27" borderId="0" xfId="0" applyNumberFormat="1" applyFont="1" applyFill="1" applyBorder="1" applyAlignment="1">
      <x:alignment vertical="center" wrapText="1"/>
    </x:xf>
    <x:xf numFmtId="0" fontId="18" fillId="28" borderId="0" xfId="0" applyNumberFormat="1" applyFont="1" applyFill="1" applyBorder="1" applyAlignment="1">
      <x:alignment vertical="center" wrapText="1"/>
    </x:xf>
    <x:xf numFmtId="0" fontId="0" fillId="26" borderId="0" xfId="0" applyNumberFormat="1" applyFont="1" applyFill="1" applyBorder="1"/>
    <x:xf numFmtId="0" fontId="11" fillId="26" borderId="0" xfId="0" applyNumberFormat="1" applyFont="1" applyFill="1" applyBorder="1"/>
    <x:xf numFmtId="0" fontId="11" fillId="26" borderId="0" xfId="0" applyNumberFormat="1" applyFont="1" applyFill="1" applyBorder="1" applyAlignment="1">
      <x:alignment wrapText="1"/>
    </x:xf>
    <x:xf numFmtId="0" fontId="0" fillId="29" borderId="0" xfId="0" applyNumberFormat="1" applyFont="1" applyFill="1" applyBorder="1"/>
    <x:xf numFmtId="0" fontId="0" fillId="27" borderId="0" xfId="0" applyNumberFormat="1" applyFont="1" applyFill="1" applyBorder="1"/>
    <x:xf numFmtId="0" fontId="0" fillId="31" borderId="0" xfId="0" applyNumberFormat="1" applyFont="1" applyFill="1" applyBorder="1"/>
    <x:xf numFmtId="0" fontId="24" fillId="31" borderId="0" xfId="0" applyNumberFormat="1" applyFont="1" applyFill="1" applyBorder="1"/>
    <x:xf numFmtId="205" fontId="0" fillId="27" borderId="0" xfId="0" applyNumberFormat="1" applyFont="1" applyFill="1" applyBorder="1"/>
    <x:xf numFmtId="205" fontId="24" fillId="31" borderId="0" xfId="0" applyNumberFormat="1" applyFont="1" applyFill="1" applyBorder="1"/>
    <x:xf numFmtId="0" fontId="25" fillId="0" borderId="0" xfId="0" applyNumberFormat="1" applyFont="1" applyFill="1" applyBorder="1"/>
    <x:xf numFmtId="0" fontId="26" fillId="0" borderId="0" xfId="0" applyNumberFormat="1" applyFont="1" applyFill="1" applyBorder="1"/>
    <x:xf numFmtId="0" fontId="27" fillId="19" borderId="0" xfId="0" applyNumberFormat="1" applyFont="1" applyFill="1" applyBorder="1" applyAlignment="1">
      <x:alignment vertical="center"/>
    </x:xf>
    <x:xf numFmtId="0" fontId="10" fillId="30" borderId="0" xfId="0" applyNumberFormat="1" applyFont="1" applyFill="1" applyBorder="1" applyAlignment="1">
      <x:alignment wrapText="1"/>
    </x:xf>
  </x:cellXfs>
  <x:cellStyles count="1">
    <x:cellStyle name="Normal" xfId="0"/>
  </x:cellStyles>
  <x:dxfs count="9">
    <x:dxf>
      <x:fill>
        <x:patternFill>
          <x:bgColor rgb="FFFFF0D0"/>
        </x:patternFill>
      </x:fill>
    </x:dxf>
    <x:dxf>
      <x:fill>
        <x:patternFill>
          <x:bgColor rgb="FFFFF0D0"/>
        </x:patternFill>
      </x:fill>
    </x:dxf>
    <x:dxf>
      <x:font>
        <x:b/>
        <x:color rgb="FF991B1B"/>
      </x:font>
      <x:fill>
        <x:patternFill>
          <x:bgColor rgb="FFFEE2E2"/>
        </x:patternFill>
      </x:fill>
    </x:dxf>
    <x:dxf>
      <x:font>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B91C1C"/>
      </x:font>
      <x:fill>
        <x:patternFill patternType="solid">
          <x:bgColor rgb="FFFCE8E6"/>
        </x:patternFill>
      </x:fill>
    </x:dxf>
    <x:dxf>
      <x:font>
        <x:b/>
        <x:color rgb="FF92400E"/>
      </x:font>
      <x:fill>
        <x:patternFill patternType="solid">
          <x:bgColor rgb="FFFFF2D8"/>
        </x:patternFill>
      </x:fill>
    </x:dxf>
    <x:dxf>
      <x:font>
        <x:color rgb="FFB91C1C"/>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8c5ea010bb4d1e" /><Relationship Type="http://schemas.openxmlformats.org/officeDocument/2006/relationships/theme" Target="/xl/theme/theme1.xml" Id="R3211d64288844fe8" /><Relationship Type="http://schemas.openxmlformats.org/officeDocument/2006/relationships/sharedStrings" Target="/xl/sharedStrings.xml" Id="R8cdee84baa114b70" /><Relationship Type="http://schemas.openxmlformats.org/officeDocument/2006/relationships/worksheet" Target="/xl/worksheets/sheet1.xml" Id="R8c178dd8216945de" /><Relationship Type="http://schemas.openxmlformats.org/officeDocument/2006/relationships/worksheet" Target="/xl/worksheets/sheet2.xml" Id="R587186aa72674310" /><Relationship Type="http://schemas.openxmlformats.org/officeDocument/2006/relationships/worksheet" Target="/xl/worksheets/sheet3.xml" Id="R718e2c06e8bb46d6" /><Relationship Type="http://schemas.openxmlformats.org/officeDocument/2006/relationships/worksheet" Target="/xl/worksheets/sheet4.xml" Id="Rb043a80b77dd4062" /><Relationship Type="http://schemas.openxmlformats.org/officeDocument/2006/relationships/worksheet" Target="/xl/worksheets/sheet5.xml" Id="R5fe8bfcb963048cf" /><Relationship Type="http://schemas.openxmlformats.org/officeDocument/2006/relationships/worksheet" Target="/xl/worksheets/sheet6.xml" Id="Ra08674c7162c478b" /><Relationship Type="http://schemas.openxmlformats.org/officeDocument/2006/relationships/worksheet" Target="/xl/worksheets/sheet7.xml" Id="Rfbbe62acb5a24798" /><Relationship Type="http://schemas.openxmlformats.org/officeDocument/2006/relationships/worksheet" Target="/xl/worksheets/sheet8.xml" Id="R2ff8dc569da2448b" /><Relationship Type="http://schemas.openxmlformats.org/officeDocument/2006/relationships/worksheet" Target="/xl/worksheets/sheet9.xml" Id="Rb0a24bce593d463d" /><Relationship Type="http://schemas.openxmlformats.org/officeDocument/2006/relationships/worksheet" Target="/xl/worksheets/sheet10.xml" Id="R1e23e0c9a99740c5" /><Relationship Type="http://schemas.openxmlformats.org/officeDocument/2006/relationships/worksheet" Target="/xl/worksheets/sheet11.xml" Id="Rd4073891b7ab4aef" /><Relationship Type="http://schemas.openxmlformats.org/officeDocument/2006/relationships/worksheet" Target="/xl/worksheets/sheet12.xml" Id="R5da50358a7fa4486" /><Relationship Type="http://schemas.openxmlformats.org/officeDocument/2006/relationships/worksheet" Target="/xl/worksheets/sheet13.xml" Id="R3048bed7563c47dd" /><Relationship Type="http://schemas.openxmlformats.org/officeDocument/2006/relationships/worksheet" Target="/xl/worksheets/sheet14.xml" Id="Rcb336997c5d04670" /><Relationship Type="http://schemas.openxmlformats.org/officeDocument/2006/relationships/worksheet" Target="/xl/worksheets/sheet15.xml" Id="Rd364d64dbadb4c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6" hidden="0" customWidth="1"/>
    <x:col min="2" max="2" width="16" hidden="0" customWidth="1"/>
    <x:col min="3" max="3" width="20" hidden="0" customWidth="1"/>
    <x:col min="4" max="4" width="20" hidden="0" customWidth="1"/>
    <x:col min="5" max="5" width="19" hidden="0" customWidth="1"/>
    <x:col min="6" max="6" width="20" hidden="0" customWidth="1"/>
    <x:col min="7" max="7" width="20" hidden="0" customWidth="1"/>
    <x:col min="8" max="8" width="19" hidden="0" customWidth="1"/>
  </x:cols>
  <x:sheetData>
    <x:row r="1" ht="36" customHeight="1">
      <x:c r="A1" s="4" t="str">
        <x:v>FORGE MAGIQUE &amp; ACHATS — Guide MJ</x:v>
      </x:c>
      <x:c r="B1" s="4"/>
      <x:c r="C1" s="4"/>
      <x:c r="D1" s="4"/>
      <x:c r="E1" s="4"/>
      <x:c r="F1" s="4"/>
      <x:c r="G1" s="4"/>
      <x:c r="H1" s="4"/>
    </x:row>
    <x:row r="2" ht="27" customHeight="1">
      <x:c r="A2" s="11" t="str">
        <x:v>Version réorganisée du classeur transmis • Les tarifs sont des règles maison, pas les prix officiels 3.5 ou 5e.</x:v>
      </x:c>
      <x:c r="B2" s="11"/>
      <x:c r="C2" s="11"/>
      <x:c r="D2" s="11"/>
      <x:c r="E2" s="11"/>
      <x:c r="F2" s="11"/>
      <x:c r="G2" s="11"/>
      <x:c r="H2" s="11"/>
    </x:row>
    <x:row r="4" ht="21" customHeight="1">
      <x:c r="A4" s="19" t="str">
        <x:v>PRINCIPE</x:v>
      </x:c>
      <x:c r="B4" s="19"/>
      <x:c r="C4" s="27" t="str">
        <x:v>Trois notions à distinguer : bonus réel B (+1, +2…), capacité de l'objet (B slots maximum pour une arme +B) et niveau de coût utilisé uniquement pour calculer le prix.</x:v>
      </x:c>
      <x:c r="D4" s="27"/>
      <x:c r="E4" s="27"/>
      <x:c r="F4" s="27"/>
      <x:c r="G4" s="27"/>
      <x:c r="H4" s="27"/>
    </x:row>
    <x:row r="5" ht="21" customHeight="1">
      <x:c r="C5" s="27"/>
      <x:c r="D5" s="27"/>
      <x:c r="E5" s="27"/>
      <x:c r="F5" s="27"/>
      <x:c r="G5" s="27"/>
      <x:c r="H5" s="27"/>
    </x:row>
    <x:row r="6" ht="21" customHeight="1">
      <x:c r="A6" s="19" t="str">
        <x:v>CONVERSION DES BONUS</x:v>
      </x:c>
      <x:c r="B6" s="19"/>
      <x:c r="C6" s="35" t="str">
        <x:v>Progression du coût d'altération : +1 réel → 1 ; +2 → 3 ; +3 → 6 ; +4 → 10. Ce palier est B × (B+1)/2, PAS le nombre de slots ; une arme +B a B slots.</x:v>
      </x:c>
      <x:c r="D6" s="35"/>
      <x:c r="E6" s="35"/>
      <x:c r="F6" s="35"/>
      <x:c r="G6" s="35"/>
      <x:c r="H6" s="35"/>
    </x:row>
    <x:row r="7" ht="21" customHeight="1">
      <x:c r="C7" s="35"/>
      <x:c r="D7" s="35"/>
      <x:c r="E7" s="35"/>
      <x:c r="F7" s="35"/>
      <x:c r="G7" s="35"/>
      <x:c r="H7" s="35"/>
    </x:row>
    <x:row r="8" ht="21" customHeight="1">
      <x:c r="A8" s="19" t="str">
        <x:v>PROPRIÉTÉS MAGIQUES</x:v>
      </x:c>
      <x:c r="B8" s="19"/>
      <x:c r="C8" s="27" t="str">
        <x:v>Chaque propriété a un coût maison en slots (+1, +2…), adapté à D&amp;D 5e. Une propriété à +2 occupe 2 slots. La somme S des slots des propriétés ne peut dépasser B pour une arme +B.</x:v>
      </x:c>
      <x:c r="D8" s="27"/>
      <x:c r="E8" s="27"/>
      <x:c r="F8" s="27"/>
      <x:c r="G8" s="27"/>
      <x:c r="H8" s="27"/>
    </x:row>
    <x:row r="9" ht="21" customHeight="1">
      <x:c r="C9" s="27"/>
      <x:c r="D9" s="27"/>
      <x:c r="E9" s="27"/>
      <x:c r="F9" s="27"/>
      <x:c r="G9" s="27"/>
      <x:c r="H9" s="27"/>
    </x:row>
    <x:row r="10" ht="21" customHeight="1">
      <x:c r="A10" s="19" t="str">
        <x:v>FORMULE MAISON</x:v>
      </x:c>
      <x:c r="B10" s="19"/>
      <x:c r="C10" s="35" t="str">
        <x:v>Pour une arme +B : 0 ≤ S ≤ B. Niveau total = B × (B+1)/2 + S. Prix forge arme = 1 000 × niveau total² ; armure/bouclier = 85 % ; autre objet = 80 % (coefficients maison).</x:v>
      </x:c>
      <x:c r="D10" s="35"/>
      <x:c r="E10" s="35"/>
      <x:c r="F10" s="35"/>
      <x:c r="G10" s="35"/>
      <x:c r="H10" s="35"/>
    </x:row>
    <x:row r="11" ht="21" customHeight="1">
      <x:c r="C11" s="35"/>
      <x:c r="D11" s="35"/>
      <x:c r="E11" s="35"/>
      <x:c r="F11" s="35"/>
      <x:c r="G11" s="35"/>
      <x:c r="H11" s="35"/>
    </x:row>
    <x:row r="12" ht="21" customHeight="1">
      <x:c r="A12" s="19" t="str">
        <x:v>AMÉLIORATION</x:v>
      </x:c>
      <x:c r="B12" s="19"/>
      <x:c r="C12" s="27" t="str">
        <x:v>Pour améliorer un objet, conserver ses propriétés si les slots restent suffisants ; facturer la différence entre les prix des versions complètes. Toute configuration dépassant la capacité de l'objet est non forgeable.</x:v>
      </x:c>
      <x:c r="D12" s="27"/>
      <x:c r="E12" s="27"/>
      <x:c r="F12" s="27"/>
      <x:c r="G12" s="27"/>
      <x:c r="H12" s="27"/>
    </x:row>
    <x:row r="13" ht="21" customHeight="1">
      <x:c r="C13" s="27"/>
      <x:c r="D13" s="27"/>
      <x:c r="E13" s="27"/>
      <x:c r="F13" s="27"/>
      <x:c r="G13" s="27"/>
      <x:c r="H13" s="27"/>
    </x:row>
    <x:row r="14" ht="21" customHeight="1">
      <x:c r="A14" s="19" t="str">
        <x:v>DEUX GRILLES À NE PAS CONFONDRE</x:v>
      </x:c>
      <x:c r="B14" s="19"/>
      <x:c r="C14" s="35" t="str">
        <x:v>Les niveaux de coût (1, 3, 6, 10…) ne sont pas des slots. Gemmaline/3.5 inspire les effets, mais leur coût en slots est fixé par le MJ pour D&amp;D 5e. Frugale vaut +1 slot ici.</x:v>
      </x:c>
      <x:c r="D14" s="35"/>
      <x:c r="E14" s="35"/>
      <x:c r="F14" s="35"/>
      <x:c r="G14" s="35"/>
      <x:c r="H14" s="35"/>
    </x:row>
    <x:row r="15" ht="21" customHeight="1">
      <x:c r="C15" s="35"/>
      <x:c r="D15" s="35"/>
      <x:c r="E15" s="35"/>
      <x:c r="F15" s="35"/>
      <x:c r="G15" s="35"/>
      <x:c r="H15" s="35"/>
    </x:row>
    <x:row r="16" ht="21" customHeight="1">
      <x:c r="A16" s="19" t="str">
        <x:v>EXEMPLE CONFIRMÉ</x:v>
      </x:c>
      <x:c r="B16" s="19"/>
      <x:c r="C16" s="27" t="str">
        <x:v>Arc +2 Sournoise (+1 slot), Frugale (+1 slot) : 2/2 slots utilisés. Niveau de coût = 3 (bonus) + 2 (effets) = 5 ; prix = 25 000 po. Un troisième slot est interdit.</x:v>
      </x:c>
      <x:c r="D16" s="27"/>
      <x:c r="E16" s="27"/>
      <x:c r="F16" s="27"/>
      <x:c r="G16" s="27"/>
      <x:c r="H16" s="27"/>
    </x:row>
    <x:row r="17" ht="21" customHeight="1">
      <x:c r="C17" s="27"/>
      <x:c r="D17" s="27"/>
      <x:c r="E17" s="27"/>
      <x:c r="F17" s="27"/>
      <x:c r="G17" s="27"/>
      <x:c r="H17" s="27"/>
    </x:row>
    <x:row r="18" ht="21" customHeight="1">
      <x:c r="A18" s="19" t="str">
        <x:v>ACHAT VS FORGE</x:v>
      </x:c>
      <x:c r="B18" s="19"/>
      <x:c r="C18" s="35" t="str">
        <x:v>La forge fixe les prix plafonds de TOUS les objets magiques : les objets autonomes reçoivent un niveau de puissance N manuel, évalué contre les armes enchantées. Les rares fourchettes de prix anciennes ne sont pas normatives.</x:v>
      </x:c>
      <x:c r="D18" s="35"/>
      <x:c r="E18" s="35"/>
      <x:c r="F18" s="35"/>
      <x:c r="G18" s="35"/>
      <x:c r="H18" s="35"/>
    </x:row>
    <x:row r="19" ht="21" customHeight="1">
      <x:c r="C19" s="35"/>
      <x:c r="D19" s="35"/>
      <x:c r="E19" s="35"/>
      <x:c r="F19" s="35"/>
      <x:c r="G19" s="35"/>
      <x:c r="H19" s="35"/>
    </x:row>
    <x:row r="20" ht="21" customHeight="1">
      <x:c r="A20" s="19" t="str">
        <x:v>ÉQUILIBRAGE D&amp;D 5e</x:v>
      </x:c>
      <x:c r="B20" s="19"/>
      <x:c r="C20" s="27" t="str">
        <x:v>Une propriété issue de 3.5 doit être adaptée à la mécanique 5e ; le bonus d’attaque de base (BBA) n’existe plus. Les bonus CA, DD des sorts, actions, charges et liens d’harmonisation sont à contrôler.</x:v>
      </x:c>
      <x:c r="D20" s="27"/>
      <x:c r="E20" s="27"/>
      <x:c r="F20" s="27"/>
      <x:c r="G20" s="27"/>
      <x:c r="H20" s="27"/>
    </x:row>
    <x:row r="21" ht="21" customHeight="1">
      <x:c r="C21" s="27"/>
      <x:c r="D21" s="27"/>
      <x:c r="E21" s="27"/>
      <x:c r="F21" s="27"/>
      <x:c r="G21" s="27"/>
      <x:c r="H21" s="27"/>
    </x:row>
    <x:row r="22" ht="21" customHeight="1">
      <x:c r="A22" s="42" t="str">
        <x:v>STATUT DES DEMANDES</x:v>
      </x:c>
      <x:c r="B22" s="42"/>
      <x:c r="C22" s="35" t="str">
        <x:v>« Retenu », « oui » ou un prix négocié dans la source ne prouvent pas qu’un achat a été payé. Le catalogue conserve ces mentions sans les transformer en dépenses.</x:v>
      </x:c>
      <x:c r="D22" s="35"/>
      <x:c r="E22" s="35"/>
      <x:c r="F22" s="35"/>
      <x:c r="G22" s="35"/>
      <x:c r="H22" s="35"/>
    </x:row>
    <x:row r="23" ht="21" customHeight="1">
      <x:c r="C23" s="35"/>
      <x:c r="D23" s="35"/>
      <x:c r="E23" s="35"/>
      <x:c r="F23" s="35"/>
      <x:c r="G23" s="35"/>
      <x:c r="H23" s="35"/>
    </x:row>
    <x:row r="24" ht="21" customHeight="1">
      <x:c r="A24" s="42" t="str">
        <x:v>SOURCES</x:v>
      </x:c>
      <x:c r="B24" s="42"/>
      <x:c r="C24" s="27" t="str">
        <x:v>Gemmaline armes 3.5 : https://www.gemmaline.com/armemagique.htm</x:v>
      </x:c>
      <x:c r="D24" s="27"/>
      <x:c r="E24" s="27"/>
      <x:c r="F24" s="27"/>
      <x:c r="G24" s="27"/>
      <x:c r="H24" s="27"/>
    </x:row>
    <x:row r="25" ht="21" customHeight="1">
      <x:c r="C25" s="27"/>
      <x:c r="D25" s="27"/>
      <x:c r="E25" s="27"/>
      <x:c r="F25" s="27"/>
      <x:c r="G25" s="27"/>
      <x:c r="H25" s="27"/>
    </x:row>
    <x:row r="26" ht="21" customHeight="1">
      <x:c r="A26" s="42" t="str">
        <x:v>SOURCES</x:v>
      </x:c>
      <x:c r="B26" s="42"/>
      <x:c r="C26" s="35" t="str">
        <x:v>Gemmaline armures 3.5 : https://www.gemmaline.com/armuremagique.htm</x:v>
      </x:c>
      <x:c r="D26" s="35"/>
      <x:c r="E26" s="35"/>
      <x:c r="F26" s="35"/>
      <x:c r="G26" s="35"/>
      <x:c r="H26" s="35"/>
    </x:row>
    <x:row r="27" ht="21" customHeight="1">
      <x:c r="C27" s="35"/>
      <x:c r="D27" s="35"/>
      <x:c r="E27" s="35"/>
      <x:c r="F27" s="35"/>
      <x:c r="G27" s="35"/>
      <x:c r="H27" s="35"/>
    </x:row>
    <x:row r="28" ht="21" customHeight="1">
      <x:c r="A28" s="42" t="str">
        <x:v>SOURCES</x:v>
      </x:c>
      <x:c r="B28" s="42"/>
      <x:c r="C28" s="27" t="str">
        <x:v>DMG 2024 – Magic Items : https://www.dndbeyond.com/sources/dnd/br-2024/magic-items</x:v>
      </x:c>
      <x:c r="D28" s="27"/>
      <x:c r="E28" s="27"/>
      <x:c r="F28" s="27"/>
      <x:c r="G28" s="27"/>
      <x:c r="H28" s="27"/>
    </x:row>
    <x:row r="29" ht="21" customHeight="1">
      <x:c r="C29" s="27"/>
      <x:c r="D29" s="27"/>
      <x:c r="E29" s="27"/>
      <x:c r="F29" s="27"/>
      <x:c r="G29" s="27"/>
      <x:c r="H29" s="27"/>
    </x:row>
    <x:row r="30" ht="37" customHeight="1">
      <x:c r="A30" s="194" t="str">
        <x:v>PRIX PLAFOND</x:v>
      </x:c>
      <x:c r="B30"/>
      <x:c r="C30" s="76" t="str">
        <x:v>Prix maximum en po = 1 000 × N² × coefficient, ou différence des valeurs complètes pour une amélioration.</x:v>
      </x:c>
    </x:row>
    <x:row r="31" ht="37" customHeight="1">
      <x:c r="A31" s="194"/>
      <x:c r="B31"/>
      <x:c r="C31" s="76"/>
    </x:row>
    <x:row r="32" ht="37" customHeight="1">
      <x:c r="A32" s="194" t="str">
        <x:v>JET DE MARCHÉ</x:v>
      </x:c>
      <x:c r="B32"/>
      <x:c r="C32" s="76" t="str">
        <x:v>Paiement = prix plafond × min(100 %, 70 % + 2 % × d20). Prix toujours inférieur ou égal au plafond.</x:v>
      </x:c>
    </x:row>
    <x:row r="33" ht="37" customHeight="1">
      <x:c r="A33" s="194"/>
      <x:c r="B33"/>
      <x:c r="C33" s="76"/>
    </x:row>
    <x:row r="34" ht="37" customHeight="1">
      <x:c r="A34" s="194" t="str">
        <x:v>COMPLICATION</x:v>
      </x:c>
      <x:c r="B34"/>
      <x:c r="C34" s="76" t="str">
        <x:v>Un jet &gt;15 ne peut pas augmenter le prix. Il provoque à la place un besoin de matériau, service, incident ou quête (niveau lié au jet).</x:v>
      </x:c>
    </x:row>
    <x:row r="35" ht="37" customHeight="1">
      <x:c r="A35" s="194"/>
      <x:c r="B35"/>
      <x:c r="C35" s="76"/>
    </x:row>
    <x:row r="36" ht="37" customHeight="1">
      <x:c r="A36" s="194" t="str">
        <x:v>COMPOSANTS</x:v>
      </x:c>
      <x:c r="B36"/>
      <x:c r="C36" s="76" t="str">
        <x:v>Si les joueurs achètent le matériau, son prix fait partie du plafond et est déduit du solde du marchand ; jamais de surcoût implicite.</x:v>
      </x:c>
    </x:row>
    <x:row r="37" ht="37" customHeight="1">
      <x:c r="A37" s="194" t="str">
        <x:v>SIMULATEUR</x:v>
      </x:c>
      <x:c r="B37"/>
      <x:c r="C37" s="76" t="str">
        <x:v>Voir l’onglet 09 - Plafonds et aleas. L’onglet 08 conserve uniquement la précédente simulation (archive).</x:v>
      </x:c>
    </x:row>
  </x:sheetData>
  <x:mergeCells>
    <x:mergeCell ref="A1:H1"/>
    <x:mergeCell ref="A2:H2"/>
    <x:mergeCell ref="A4:B4"/>
    <x:mergeCell ref="C4:H5"/>
    <x:mergeCell ref="A6:B6"/>
    <x:mergeCell ref="C6:H7"/>
    <x:mergeCell ref="A8:B8"/>
    <x:mergeCell ref="C8:H9"/>
    <x:mergeCell ref="A10:B10"/>
    <x:mergeCell ref="C10:H11"/>
    <x:mergeCell ref="A12:B12"/>
    <x:mergeCell ref="C12:H13"/>
    <x:mergeCell ref="A14:B14"/>
    <x:mergeCell ref="C14:H15"/>
    <x:mergeCell ref="A16:B16"/>
    <x:mergeCell ref="C16:H17"/>
    <x:mergeCell ref="A18:B18"/>
    <x:mergeCell ref="C18:H19"/>
    <x:mergeCell ref="A20:B20"/>
    <x:mergeCell ref="C20:H21"/>
    <x:mergeCell ref="A22:B22"/>
    <x:mergeCell ref="C22:H23"/>
    <x:mergeCell ref="A24:B24"/>
    <x:mergeCell ref="C24:H25"/>
    <x:mergeCell ref="A26:B26"/>
    <x:mergeCell ref="C26:H27"/>
    <x:mergeCell ref="A28:B28"/>
    <x:mergeCell ref="C28:H29"/>
  </x:mergeCells>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1" hidden="0" customWidth="1"/>
    <x:col min="2" max="2" width="18" hidden="0" customWidth="1"/>
    <x:col min="3" max="3" width="28" hidden="0" customWidth="1"/>
    <x:col min="4" max="4" width="26" hidden="0" customWidth="1"/>
    <x:col min="5" max="5" width="19" hidden="0" customWidth="1"/>
    <x:col min="6" max="6" width="16" hidden="0" customWidth="1"/>
    <x:col min="7" max="7" width="16" hidden="0" customWidth="1"/>
    <x:col min="8" max="8" width="16" hidden="0" customWidth="1"/>
  </x:cols>
  <x:sheetData>
    <x:row r="1" ht="36" customHeight="1">
      <x:c r="A1" s="4" t="str">
        <x:v>BARÈME MAISON — niveaux de coût</x:v>
      </x:c>
      <x:c r="B1" s="4"/>
      <x:c r="C1" s="4"/>
      <x:c r="D1" s="4"/>
      <x:c r="E1" s="4"/>
      <x:c r="F1" s="4"/>
      <x:c r="G1" s="4"/>
      <x:c r="H1" s="4"/>
    </x:row>
    <x:row r="2" ht="27" customHeight="1">
      <x:c r="A2" s="11" t="str">
        <x:v>Formules modifiables dans les cellules bleutées. Les prix ne présument pas de la disponibilité des objets.</x:v>
      </x:c>
      <x:c r="B2" s="11"/>
      <x:c r="C2" s="11"/>
      <x:c r="D2" s="11"/>
      <x:c r="E2" s="11"/>
      <x:c r="F2" s="11"/>
      <x:c r="G2" s="11"/>
      <x:c r="H2" s="11"/>
    </x:row>
    <x:row r="3">
      <x:c r="A3" t="str">
        <x:v>Base (po)</x:v>
      </x:c>
      <x:c r="B3" s="47" t="n">
        <x:v>1000</x:v>
      </x:c>
    </x:row>
    <x:row r="4">
      <x:c r="A4" t="str">
        <x:v>Coefficient armure / bouclier</x:v>
      </x:c>
      <x:c r="B4" s="50" t="n">
        <x:v>0.85</x:v>
      </x:c>
    </x:row>
    <x:row r="5">
      <x:c r="A5" t="str">
        <x:v>Coefficient autre objet</x:v>
      </x:c>
      <x:c r="B5" s="50" t="n">
        <x:v>0.8</x:v>
      </x:c>
    </x:row>
    <x:row r="8" ht="30" customHeight="1">
      <x:c r="A8" s="19" t="str">
        <x:v>Niveau total</x:v>
      </x:c>
      <x:c r="B8" s="19" t="str">
        <x:v>Arme (po)</x:v>
      </x:c>
      <x:c r="C8" s="19" t="str">
        <x:v>Armure / bouclier (po)</x:v>
      </x:c>
      <x:c r="D8" s="19" t="str">
        <x:v>Autre objet (po)</x:v>
      </x:c>
    </x:row>
    <x:row r="9">
      <x:c r="A9" t="n">
        <x:v>1</x:v>
      </x:c>
      <x:c r="B9" s="60" t="n">
        <x:f>$B$3*A9^2</x:f>
        <x:v>1000</x:v>
      </x:c>
      <x:c r="C9" s="60" t="n">
        <x:f>B9*$B$4</x:f>
        <x:v>850</x:v>
      </x:c>
      <x:c r="D9" s="60" t="n">
        <x:f>B9*$B$5</x:f>
        <x:v>800</x:v>
      </x:c>
    </x:row>
    <x:row r="10">
      <x:c r="A10" t="n">
        <x:v>2</x:v>
      </x:c>
      <x:c r="B10" s="60" t="n">
        <x:f>$B$3*A10^2</x:f>
        <x:v>4000</x:v>
      </x:c>
      <x:c r="C10" s="60" t="n">
        <x:f>B10*$B$4</x:f>
        <x:v>3400</x:v>
      </x:c>
      <x:c r="D10" s="60" t="n">
        <x:f>B10*$B$5</x:f>
        <x:v>3200</x:v>
      </x:c>
    </x:row>
    <x:row r="11">
      <x:c r="A11" t="n">
        <x:v>3</x:v>
      </x:c>
      <x:c r="B11" s="60" t="n">
        <x:f>$B$3*A11^2</x:f>
        <x:v>9000</x:v>
      </x:c>
      <x:c r="C11" s="60" t="n">
        <x:f>B11*$B$4</x:f>
        <x:v>7650</x:v>
      </x:c>
      <x:c r="D11" s="60" t="n">
        <x:f>B11*$B$5</x:f>
        <x:v>7200</x:v>
      </x:c>
    </x:row>
    <x:row r="12">
      <x:c r="A12" t="n">
        <x:v>4</x:v>
      </x:c>
      <x:c r="B12" s="60" t="n">
        <x:f>$B$3*A12^2</x:f>
        <x:v>16000</x:v>
      </x:c>
      <x:c r="C12" s="60" t="n">
        <x:f>B12*$B$4</x:f>
        <x:v>13600</x:v>
      </x:c>
      <x:c r="D12" s="60" t="n">
        <x:f>B12*$B$5</x:f>
        <x:v>12800</x:v>
      </x:c>
    </x:row>
    <x:row r="13">
      <x:c r="A13" t="n">
        <x:v>5</x:v>
      </x:c>
      <x:c r="B13" s="60" t="n">
        <x:f>$B$3*A13^2</x:f>
        <x:v>25000</x:v>
      </x:c>
      <x:c r="C13" s="60" t="n">
        <x:f>B13*$B$4</x:f>
        <x:v>21250</x:v>
      </x:c>
      <x:c r="D13" s="60" t="n">
        <x:f>B13*$B$5</x:f>
        <x:v>20000</x:v>
      </x:c>
    </x:row>
    <x:row r="14">
      <x:c r="A14" t="n">
        <x:v>6</x:v>
      </x:c>
      <x:c r="B14" s="60" t="n">
        <x:f>$B$3*A14^2</x:f>
        <x:v>36000</x:v>
      </x:c>
      <x:c r="C14" s="60" t="n">
        <x:f>B14*$B$4</x:f>
        <x:v>30600</x:v>
      </x:c>
      <x:c r="D14" s="60" t="n">
        <x:f>B14*$B$5</x:f>
        <x:v>28800</x:v>
      </x:c>
    </x:row>
    <x:row r="15">
      <x:c r="A15" t="n">
        <x:v>7</x:v>
      </x:c>
      <x:c r="B15" s="60" t="n">
        <x:f>$B$3*A15^2</x:f>
        <x:v>49000</x:v>
      </x:c>
      <x:c r="C15" s="60" t="n">
        <x:f>B15*$B$4</x:f>
        <x:v>41650</x:v>
      </x:c>
      <x:c r="D15" s="60" t="n">
        <x:f>B15*$B$5</x:f>
        <x:v>39200</x:v>
      </x:c>
    </x:row>
    <x:row r="16">
      <x:c r="A16" t="n">
        <x:v>8</x:v>
      </x:c>
      <x:c r="B16" s="60" t="n">
        <x:f>$B$3*A16^2</x:f>
        <x:v>64000</x:v>
      </x:c>
      <x:c r="C16" s="60" t="n">
        <x:f>B16*$B$4</x:f>
        <x:v>54400</x:v>
      </x:c>
      <x:c r="D16" s="60" t="n">
        <x:f>B16*$B$5</x:f>
        <x:v>51200</x:v>
      </x:c>
    </x:row>
    <x:row r="17">
      <x:c r="A17" t="n">
        <x:v>9</x:v>
      </x:c>
      <x:c r="B17" s="60" t="n">
        <x:f>$B$3*A17^2</x:f>
        <x:v>81000</x:v>
      </x:c>
      <x:c r="C17" s="60" t="n">
        <x:f>B17*$B$4</x:f>
        <x:v>68850</x:v>
      </x:c>
      <x:c r="D17" s="60" t="n">
        <x:f>B17*$B$5</x:f>
        <x:v>64800</x:v>
      </x:c>
    </x:row>
    <x:row r="18">
      <x:c r="A18" t="n">
        <x:v>10</x:v>
      </x:c>
      <x:c r="B18" s="60" t="n">
        <x:f>$B$3*A18^2</x:f>
        <x:v>100000</x:v>
      </x:c>
      <x:c r="C18" s="60" t="n">
        <x:f>B18*$B$4</x:f>
        <x:v>85000</x:v>
      </x:c>
      <x:c r="D18" s="60" t="n">
        <x:f>B18*$B$5</x:f>
        <x:v>80000</x:v>
      </x:c>
    </x:row>
    <x:row r="19">
      <x:c r="B19" s="60"/>
      <x:c r="C19" s="60"/>
      <x:c r="D19" s="60"/>
    </x:row>
    <x:row r="20">
      <x:c r="B20" s="60"/>
      <x:c r="C20" s="60"/>
      <x:c r="D20" s="60"/>
    </x:row>
    <x:row r="21" ht="30" customHeight="1">
      <x:c r="A21" s="19" t="str">
        <x:v>Bonus réel</x:v>
      </x:c>
      <x:c r="B21" s="61" t="str">
        <x:v>Niveau de coût</x:v>
      </x:c>
      <x:c r="C21" s="61" t="str">
        <x:v>Prix arme pure</x:v>
      </x:c>
      <x:c r="D21" s="61" t="str">
        <x:v>Prix armure pure</x:v>
      </x:c>
      <x:c r="E21" s="102" t="str">
        <x:v>Slots max (arme)</x:v>
      </x:c>
    </x:row>
    <x:row r="22">
      <x:c r="A22" t="n">
        <x:v>1</x:v>
      </x:c>
      <x:c r="B22" s="60" t="n">
        <x:f>A22*(A22+1)/2</x:f>
        <x:v>1</x:v>
      </x:c>
      <x:c r="C22" s="60" t="n">
        <x:f>$B$3*B22^2</x:f>
        <x:v>1000</x:v>
      </x:c>
      <x:c r="D22" s="60" t="n">
        <x:f>C22*$B$4</x:f>
        <x:v>850</x:v>
      </x:c>
      <x:c r="E22" t="n">
        <x:f>A22</x:f>
        <x:v>1</x:v>
      </x:c>
    </x:row>
    <x:row r="23">
      <x:c r="A23" t="n">
        <x:v>2</x:v>
      </x:c>
      <x:c r="B23" s="60" t="n">
        <x:f>A23*(A23+1)/2</x:f>
        <x:v>3</x:v>
      </x:c>
      <x:c r="C23" s="60" t="n">
        <x:f>$B$3*B23^2</x:f>
        <x:v>9000</x:v>
      </x:c>
      <x:c r="D23" s="60" t="n">
        <x:f>C23*$B$4</x:f>
        <x:v>7650</x:v>
      </x:c>
      <x:c r="E23" t="n">
        <x:f>A23</x:f>
        <x:v>2</x:v>
      </x:c>
    </x:row>
    <x:row r="24">
      <x:c r="A24" t="n">
        <x:v>3</x:v>
      </x:c>
      <x:c r="B24" s="60" t="n">
        <x:f>A24*(A24+1)/2</x:f>
        <x:v>6</x:v>
      </x:c>
      <x:c r="C24" s="60" t="n">
        <x:f>$B$3*B24^2</x:f>
        <x:v>36000</x:v>
      </x:c>
      <x:c r="D24" s="60" t="n">
        <x:f>C24*$B$4</x:f>
        <x:v>30600</x:v>
      </x:c>
      <x:c r="E24" t="n">
        <x:f>A24</x:f>
        <x:v>3</x:v>
      </x:c>
    </x:row>
    <x:row r="25">
      <x:c r="A25" t="n">
        <x:v>4</x:v>
      </x:c>
      <x:c r="B25" s="60" t="n">
        <x:f>A25*(A25+1)/2</x:f>
        <x:v>10</x:v>
      </x:c>
      <x:c r="C25" s="60" t="n">
        <x:f>$B$3*B25^2</x:f>
        <x:v>100000</x:v>
      </x:c>
      <x:c r="D25" s="60" t="n">
        <x:f>C25*$B$4</x:f>
        <x:v>85000</x:v>
      </x:c>
      <x:c r="E25" t="n">
        <x:f>A25</x:f>
        <x:v>4</x:v>
      </x:c>
    </x:row>
    <x:row r="26">
      <x:c r="A26" t="n">
        <x:v>5</x:v>
      </x:c>
      <x:c r="B26" s="60" t="n">
        <x:f>A26*(A26+1)/2</x:f>
        <x:v>15</x:v>
      </x:c>
      <x:c r="C26" s="60" t="n">
        <x:f>$B$3*B26^2</x:f>
        <x:v>225000</x:v>
      </x:c>
      <x:c r="D26" s="60" t="n">
        <x:f>C26*$B$4</x:f>
        <x:v>191250</x:v>
      </x:c>
      <x:c r="E26" t="n">
        <x:f>A26</x:f>
        <x:v>5</x:v>
      </x:c>
    </x:row>
    <x:row r="29" ht="30" customHeight="1">
      <x:c r="A29" s="19" t="str">
        <x:v>Rareté</x:v>
      </x:c>
      <x:c r="B29" s="19" t="str">
        <x:v>MIN source (po)</x:v>
      </x:c>
      <x:c r="C29" s="19" t="str">
        <x:v>MAX source (po)</x:v>
      </x:c>
      <x:c r="D29" s="19" t="str">
        <x:v>Valeur D&amp;D 2024 (po)</x:v>
      </x:c>
      <x:c r="E29" s="19" t="str">
        <x:v>Base de prix</x:v>
      </x:c>
    </x:row>
    <x:row r="30">
      <x:c r="A30" t="str">
        <x:v>Commun</x:v>
      </x:c>
      <x:c r="B30" s="60"/>
      <x:c r="C30" s="60"/>
      <x:c r="D30" s="60" t="n">
        <x:v>100</x:v>
      </x:c>
      <x:c r="E30" t="str">
        <x:v>Source 2014/maison vs référence 2024</x:v>
      </x:c>
    </x:row>
    <x:row r="31">
      <x:c r="A31" t="str">
        <x:v>Peu commun</x:v>
      </x:c>
      <x:c r="B31" s="60" t="n">
        <x:v>100</x:v>
      </x:c>
      <x:c r="C31" s="60" t="n">
        <x:v>500</x:v>
      </x:c>
      <x:c r="D31" s="60" t="n">
        <x:v>400</x:v>
      </x:c>
      <x:c r="E31" t="str">
        <x:v>Source 2014/maison vs référence 2024</x:v>
      </x:c>
    </x:row>
    <x:row r="32">
      <x:c r="A32" t="str">
        <x:v>Rare</x:v>
      </x:c>
      <x:c r="B32" s="60" t="n">
        <x:v>500</x:v>
      </x:c>
      <x:c r="C32" s="60" t="n">
        <x:v>5000</x:v>
      </x:c>
      <x:c r="D32" s="60" t="n">
        <x:v>4000</x:v>
      </x:c>
      <x:c r="E32" t="str">
        <x:v>Source 2014/maison vs référence 2024</x:v>
      </x:c>
    </x:row>
    <x:row r="33">
      <x:c r="A33" t="str">
        <x:v>Très rare</x:v>
      </x:c>
      <x:c r="B33" s="60" t="n">
        <x:v>5000</x:v>
      </x:c>
      <x:c r="C33" s="60" t="n">
        <x:v>50000</x:v>
      </x:c>
      <x:c r="D33" s="60" t="n">
        <x:v>40000</x:v>
      </x:c>
      <x:c r="E33" t="str">
        <x:v>Source 2014/maison vs référence 2024</x:v>
      </x:c>
    </x:row>
    <x:row r="34">
      <x:c r="A34" t="str">
        <x:v>Légendaire</x:v>
      </x:c>
      <x:c r="B34" s="60"/>
      <x:c r="C34" s="60"/>
      <x:c r="D34" s="60" t="n">
        <x:v>200000</x:v>
      </x:c>
      <x:c r="E34" t="str">
        <x:v>Source 2014/maison vs référence 2024</x:v>
      </x:c>
    </x:row>
    <x:row r="35">
      <x:c r="B35" s="60"/>
      <x:c r="C35" s="60"/>
      <x:c r="D35" s="60"/>
    </x:row>
    <x:row r="37">
      <x:c r="A37" s="52" t="str">
        <x:v>RÈGLE : PRIX MAXIMUM</x:v>
      </x:c>
    </x:row>
    <x:row r="38" ht="24" customHeight="1">
      <x:c r="A38" s="56" t="str">
        <x:v>Le tableau indique les PLAFONDS en po (et non un prix garanti). Tous les objets autonomes utilisent leur puissance équivalente N et le coefficient 0,80 ; le jet d20 réduit le prix ou crée un obstacle.</x:v>
      </x:c>
      <x:c r="B38" s="56"/>
      <x:c r="C38" s="56"/>
      <x:c r="D38" s="56"/>
      <x:c r="E38" s="56"/>
      <x:c r="F38" s="56"/>
      <x:c r="G38" s="56"/>
      <x:c r="H38" s="56"/>
    </x:row>
    <x:row r="39" ht="24" customHeight="1">
      <x:c r="A39" s="56"/>
      <x:c r="B39" s="56"/>
      <x:c r="C39" s="56"/>
      <x:c r="D39" s="56"/>
      <x:c r="E39" s="56"/>
      <x:c r="F39" s="56"/>
      <x:c r="G39" s="56"/>
      <x:c r="H39" s="56"/>
    </x:row>
  </x:sheetData>
  <x:mergeCells>
    <x:mergeCell ref="A1:H1"/>
    <x:mergeCell ref="A2:H2"/>
    <x:mergeCell ref="A38:H39"/>
  </x:mergeCell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4" hidden="0" customWidth="1"/>
    <x:col min="2" max="2" width="20" hidden="0" customWidth="1"/>
    <x:col min="3" max="3" width="12" hidden="0" customWidth="1"/>
    <x:col min="4" max="4" width="15" hidden="0" customWidth="1"/>
    <x:col min="5" max="5" width="12" hidden="0" customWidth="1"/>
    <x:col min="6" max="6" width="15" hidden="0" customWidth="1"/>
    <x:col min="7" max="7" width="11" hidden="0" customWidth="1"/>
    <x:col min="8" max="8" width="11" hidden="0" customWidth="1"/>
    <x:col min="9" max="9" width="14" hidden="0" customWidth="1"/>
    <x:col min="10" max="10" width="14" hidden="0" customWidth="1"/>
    <x:col min="11" max="11" width="17" hidden="0" customWidth="1"/>
    <x:col min="12" max="12" width="15" hidden="0" customWidth="1"/>
    <x:col min="13" max="13" width="17" hidden="0" customWidth="1"/>
    <x:col min="14" max="14" width="16" hidden="0" customWidth="1"/>
    <x:col min="15" max="15" width="14" hidden="0" customWidth="1"/>
    <x:col min="16" max="16" width="15" hidden="0" customWidth="1"/>
    <x:col min="17" max="17" width="53" hidden="0" customWidth="1"/>
    <x:col min="18" max="18" width="32" hidden="0" customWidth="1"/>
  </x:cols>
  <x:sheetData>
    <x:row r="1" ht="36" customHeight="1">
      <x:c r="A1" s="4" t="str">
        <x:v>CALCULATEUR — coût des améliorations</x:v>
      </x:c>
      <x:c r="B1" s="4"/>
      <x:c r="C1" s="4"/>
      <x:c r="D1" s="4"/>
      <x:c r="E1" s="4"/>
      <x:c r="F1" s="4"/>
      <x:c r="G1" s="4"/>
      <x:c r="H1" s="4"/>
      <x:c r="I1" s="4"/>
      <x:c r="J1" s="4"/>
      <x:c r="K1" s="4"/>
      <x:c r="L1" s="4"/>
      <x:c r="M1" s="4"/>
      <x:c r="N1" s="4"/>
      <x:c r="O1" s="4"/>
      <x:c r="P1" s="4"/>
      <x:c r="Q1" s="4"/>
    </x:row>
    <x:row r="2" ht="27" customHeight="1">
      <x:c r="A2" s="11" t="str">
        <x:v>G–K calculent le PRIX PLAFOND de fabrication ; L–M permettent une remise manuelle sans jamais dépasser ce plafond. Tirage marché et aléas : onglet 09.</x:v>
      </x:c>
      <x:c r="B2" s="11"/>
      <x:c r="C2" s="11"/>
      <x:c r="D2" s="11"/>
      <x:c r="E2" s="11"/>
      <x:c r="F2" s="11"/>
      <x:c r="G2" s="11"/>
      <x:c r="H2" s="11"/>
      <x:c r="I2" s="11"/>
      <x:c r="J2" s="11"/>
      <x:c r="K2" s="11"/>
      <x:c r="L2" s="11"/>
      <x:c r="M2" s="11"/>
      <x:c r="N2" s="11"/>
      <x:c r="O2" s="11"/>
      <x:c r="P2" s="11"/>
      <x:c r="Q2" s="11"/>
    </x:row>
    <x:row r="6" ht="28" customHeight="1">
      <x:c r="A6" s="19" t="str">
        <x:v>Équipement / opération</x:v>
      </x:c>
      <x:c r="B6" s="19" t="str">
        <x:v>Catégorie</x:v>
      </x:c>
      <x:c r="C6" s="19" t="str">
        <x:v>Bonus ancien</x:v>
      </x:c>
      <x:c r="D6" s="19" t="str">
        <x:v>Slots avant</x:v>
      </x:c>
      <x:c r="E6" s="19" t="str">
        <x:v>Bonus cible</x:v>
      </x:c>
      <x:c r="F6" s="19" t="str">
        <x:v>Slots après</x:v>
      </x:c>
      <x:c r="G6" s="19" t="str">
        <x:v>Niv. ancien</x:v>
      </x:c>
      <x:c r="H6" s="19" t="str">
        <x:v>Niv. cible</x:v>
      </x:c>
      <x:c r="I6" s="19" t="str">
        <x:v>Prix ancien</x:v>
      </x:c>
      <x:c r="J6" s="19" t="str">
        <x:v>Prix cible</x:v>
      </x:c>
      <x:c r="K6" s="19" t="str">
        <x:v>Différence (po)</x:v>
      </x:c>
      <x:c r="L6" s="19" t="str">
        <x:v>Remise manuelle %</x:v>
      </x:c>
      <x:c r="M6" s="19" t="str">
        <x:v>Prix plafonné (po)</x:v>
      </x:c>
      <x:c r="N6" s="19" t="str">
        <x:v>Prix source (po)</x:v>
      </x:c>
      <x:c r="O6" s="19" t="str">
        <x:v>Écart (po)</x:v>
      </x:c>
      <x:c r="P6" s="19" t="str">
        <x:v>Statut</x:v>
      </x:c>
      <x:c r="Q6" s="19" t="str">
        <x:v>Observation</x:v>
      </x:c>
      <x:c r="R6" s="104" t="str">
        <x:v>Contrôle capacité</x:v>
      </x:c>
    </x:row>
    <x:row r="7" ht="27" customHeight="1">
      <x:c r="A7" t="str">
        <x:v>Arme neuve +1</x:v>
      </x:c>
      <x:c r="B7" s="64" t="str">
        <x:v>Arme</x:v>
      </x:c>
      <x:c r="C7" s="64" t="n">
        <x:v>0</x:v>
      </x:c>
      <x:c r="D7" s="64" t="n">
        <x:v>0</x:v>
      </x:c>
      <x:c r="E7" s="64" t="n">
        <x:v>1</x:v>
      </x:c>
      <x:c r="F7" s="64" t="n">
        <x:v>0</x:v>
      </x:c>
      <x:c r="G7" t="n">
        <x:f>IF(OR(B7="",R7&lt;&gt;"OK"),"",C7*(C7+1)/2+D7)</x:f>
        <x:v>0</x:v>
      </x:c>
      <x:c r="H7" t="n">
        <x:f>IF(OR(B7="",R7&lt;&gt;"OK"),"",E7*(E7+1)/2+F7)</x:f>
        <x:v>1</x:v>
      </x:c>
      <x:c r="I7" s="68" t="n">
        <x:f>IF(OR(B7="",R7&lt;&gt;"OK"),"",'02 - Barème'!$B$3*G7^2*IF(B7="Arme",1,IF(B7="Armure/bouclier",'02 - Barème'!$B$4,'02 - Barème'!$B$5)))</x:f>
        <x:v>0</x:v>
      </x:c>
      <x:c r="J7" s="68" t="n">
        <x:f>IF(OR(B7="",R7&lt;&gt;"OK"),"",'02 - Barème'!$B$3*H7^2*IF(B7="Arme",1,IF(B7="Armure/bouclier",'02 - Barème'!$B$4,'02 - Barème'!$B$5)))</x:f>
        <x:v>1000</x:v>
      </x:c>
      <x:c r="K7" s="68" t="n">
        <x:f>IF(OR(B7="",R7&lt;&gt;"OK"),"",MAX(0,J7-I7))</x:f>
        <x:v>1000</x:v>
      </x:c>
      <x:c r="L7" s="74" t="n">
        <x:v>0</x:v>
      </x:c>
      <x:c r="M7" s="68" t="n">
        <x:f>IF(OR(B7="",R7&lt;&gt;"OK"),"",ROUND(MAX(0,MIN(K7,K7*(1+L7))),0))</x:f>
        <x:v>1000</x:v>
      </x:c>
      <x:c r="N7" s="70" t="n">
        <x:v>0</x:v>
      </x:c>
      <x:c r="O7" s="68" t="str">
        <x:f>IF(OR(B7="",R7&lt;&gt;"OK",N7=""),"",M7-N7)</x:f>
      </x:c>
      <x:c r="P7" t="str">
        <x:v>Conforme</x:v>
      </x:c>
      <x:c r="Q7" s="76" t="str">
        <x:v>Arme normale → +1</x:v>
      </x:c>
      <x:c r="R7" t="str">
        <x:f>IF(B7="","",IF(OR(C7&lt;0,E7&lt;1,D7&lt;0,F7&lt;0,D7&gt;C7,F7&gt;E7),"INTERDIT - slots dépassés","OK"))</x:f>
        <x:v>OK</x:v>
      </x:c>
    </x:row>
    <x:row r="8" ht="27" customHeight="1">
      <x:c r="A8" t="str">
        <x:v>Ajouter feu (+1) à arme +1</x:v>
      </x:c>
      <x:c r="B8" s="64" t="str">
        <x:v>Arme</x:v>
      </x:c>
      <x:c r="C8" s="64" t="n">
        <x:v>1</x:v>
      </x:c>
      <x:c r="D8" s="64" t="n">
        <x:v>0</x:v>
      </x:c>
      <x:c r="E8" s="64" t="n">
        <x:v>1</x:v>
      </x:c>
      <x:c r="F8" s="64" t="n">
        <x:v>1</x:v>
      </x:c>
      <x:c r="G8" t="n">
        <x:f>IF(OR(B8="",R8&lt;&gt;"OK"),"",C8*(C8+1)/2+D8)</x:f>
        <x:v>1</x:v>
      </x:c>
      <x:c r="H8" t="n">
        <x:f>IF(OR(B8="",R8&lt;&gt;"OK"),"",E8*(E8+1)/2+F8)</x:f>
        <x:v>2</x:v>
      </x:c>
      <x:c r="I8" s="68" t="n">
        <x:f>IF(OR(B8="",R8&lt;&gt;"OK"),"",'02 - Barème'!$B$3*G8^2*IF(B8="Arme",1,IF(B8="Armure/bouclier",'02 - Barème'!$B$4,'02 - Barème'!$B$5)))</x:f>
        <x:v>1000</x:v>
      </x:c>
      <x:c r="J8" s="68" t="n">
        <x:f>IF(OR(B8="",R8&lt;&gt;"OK"),"",'02 - Barème'!$B$3*H8^2*IF(B8="Arme",1,IF(B8="Armure/bouclier",'02 - Barème'!$B$4,'02 - Barème'!$B$5)))</x:f>
        <x:v>4000</x:v>
      </x:c>
      <x:c r="K8" s="68" t="n">
        <x:f>IF(OR(B8="",R8&lt;&gt;"OK"),"",MAX(0,J8-I8))</x:f>
        <x:v>3000</x:v>
      </x:c>
      <x:c r="L8" s="74" t="n">
        <x:v>0</x:v>
      </x:c>
      <x:c r="M8" s="68" t="n">
        <x:f>IF(OR(B8="",R8&lt;&gt;"OK"),"",ROUND(MAX(0,MIN(K8,K8*(1+L8))),0))</x:f>
        <x:v>3000</x:v>
      </x:c>
      <x:c r="N8" s="70" t="n">
        <x:v>3000</x:v>
      </x:c>
      <x:c r="O8" s="68" t="n">
        <x:f>IF(OR(B8="",R8&lt;&gt;"OK",N8=""),"",M8-N8)</x:f>
        <x:v>0</x:v>
      </x:c>
      <x:c r="P8" t="str">
        <x:v>Conforme</x:v>
      </x:c>
      <x:c r="Q8" s="76" t="str">
        <x:v>Propriété feu +1 équivalent</x:v>
      </x:c>
      <x:c r="R8" t="str">
        <x:f>IF(B8="","",IF(OR(C8&lt;0,E8&lt;1,D8&lt;0,F8&lt;0,D8&gt;C8,F8&gt;E8),"INTERDIT - slots dépassés","OK"))</x:f>
        <x:v>OK</x:v>
      </x:c>
    </x:row>
    <x:row r="9" ht="27" customHeight="1">
      <x:c r="A9" t="str">
        <x:v>Arme +1 → +2</x:v>
      </x:c>
      <x:c r="B9" s="64" t="str">
        <x:v>Arme</x:v>
      </x:c>
      <x:c r="C9" s="64" t="n">
        <x:v>1</x:v>
      </x:c>
      <x:c r="D9" s="64" t="n">
        <x:v>0</x:v>
      </x:c>
      <x:c r="E9" s="64" t="n">
        <x:v>2</x:v>
      </x:c>
      <x:c r="F9" s="64" t="n">
        <x:v>0</x:v>
      </x:c>
      <x:c r="G9" t="n">
        <x:f>IF(OR(B9="",R9&lt;&gt;"OK"),"",C9*(C9+1)/2+D9)</x:f>
        <x:v>1</x:v>
      </x:c>
      <x:c r="H9" t="n">
        <x:f>IF(OR(B9="",R9&lt;&gt;"OK"),"",E9*(E9+1)/2+F9)</x:f>
        <x:v>3</x:v>
      </x:c>
      <x:c r="I9" s="68" t="n">
        <x:f>IF(OR(B9="",R9&lt;&gt;"OK"),"",'02 - Barème'!$B$3*G9^2*IF(B9="Arme",1,IF(B9="Armure/bouclier",'02 - Barème'!$B$4,'02 - Barème'!$B$5)))</x:f>
        <x:v>1000</x:v>
      </x:c>
      <x:c r="J9" s="68" t="n">
        <x:f>IF(OR(B9="",R9&lt;&gt;"OK"),"",'02 - Barème'!$B$3*H9^2*IF(B9="Arme",1,IF(B9="Armure/bouclier",'02 - Barème'!$B$4,'02 - Barème'!$B$5)))</x:f>
        <x:v>9000</x:v>
      </x:c>
      <x:c r="K9" s="68" t="n">
        <x:f>IF(OR(B9="",R9&lt;&gt;"OK"),"",MAX(0,J9-I9))</x:f>
        <x:v>8000</x:v>
      </x:c>
      <x:c r="L9" s="74" t="n">
        <x:v>0</x:v>
      </x:c>
      <x:c r="M9" s="68" t="n">
        <x:f>IF(OR(B9="",R9&lt;&gt;"OK"),"",ROUND(MAX(0,MIN(K9,K9*(1+L9))),0))</x:f>
        <x:v>8000</x:v>
      </x:c>
      <x:c r="N9" s="70" t="n">
        <x:v>8000</x:v>
      </x:c>
      <x:c r="O9" s="68" t="n">
        <x:f>IF(OR(B9="",R9&lt;&gt;"OK",N9=""),"",M9-N9)</x:f>
        <x:v>0</x:v>
      </x:c>
      <x:c r="P9" t="str">
        <x:v>Conforme</x:v>
      </x:c>
      <x:c r="Q9" s="76" t="str">
        <x:v>Palier triangulaire</x:v>
      </x:c>
      <x:c r="R9" t="str">
        <x:f>IF(B9="","",IF(OR(C9&lt;0,E9&lt;1,D9&lt;0,F9&lt;0,D9&gt;C9,F9&gt;E9),"INTERDIT - slots dépassés","OK"))</x:f>
        <x:v>OK</x:v>
      </x:c>
    </x:row>
    <x:row r="10" ht="27" customHeight="1">
      <x:c r="A10" t="str">
        <x:v>Arme +1 de feu → +2 de feu</x:v>
      </x:c>
      <x:c r="B10" s="64" t="str">
        <x:v>Arme</x:v>
      </x:c>
      <x:c r="C10" s="64" t="n">
        <x:v>1</x:v>
      </x:c>
      <x:c r="D10" s="64" t="n">
        <x:v>1</x:v>
      </x:c>
      <x:c r="E10" s="64" t="n">
        <x:v>2</x:v>
      </x:c>
      <x:c r="F10" s="64" t="n">
        <x:v>1</x:v>
      </x:c>
      <x:c r="G10" t="n">
        <x:f>IF(OR(B10="",R10&lt;&gt;"OK"),"",C10*(C10+1)/2+D10)</x:f>
        <x:v>2</x:v>
      </x:c>
      <x:c r="H10" t="n">
        <x:f>IF(OR(B10="",R10&lt;&gt;"OK"),"",E10*(E10+1)/2+F10)</x:f>
        <x:v>4</x:v>
      </x:c>
      <x:c r="I10" s="68" t="n">
        <x:f>IF(OR(B10="",R10&lt;&gt;"OK"),"",'02 - Barème'!$B$3*G10^2*IF(B10="Arme",1,IF(B10="Armure/bouclier",'02 - Barème'!$B$4,'02 - Barème'!$B$5)))</x:f>
        <x:v>4000</x:v>
      </x:c>
      <x:c r="J10" s="68" t="n">
        <x:f>IF(OR(B10="",R10&lt;&gt;"OK"),"",'02 - Barème'!$B$3*H10^2*IF(B10="Arme",1,IF(B10="Armure/bouclier",'02 - Barème'!$B$4,'02 - Barème'!$B$5)))</x:f>
        <x:v>16000</x:v>
      </x:c>
      <x:c r="K10" s="68" t="n">
        <x:f>IF(OR(B10="",R10&lt;&gt;"OK"),"",MAX(0,J10-I10))</x:f>
        <x:v>12000</x:v>
      </x:c>
      <x:c r="L10" s="74" t="n">
        <x:v>0</x:v>
      </x:c>
      <x:c r="M10" s="68" t="n">
        <x:f>IF(OR(B10="",R10&lt;&gt;"OK"),"",ROUND(MAX(0,MIN(K10,K10*(1+L10))),0))</x:f>
        <x:v>12000</x:v>
      </x:c>
      <x:c r="N10" s="70" t="n">
        <x:v>12000</x:v>
      </x:c>
      <x:c r="O10" s="68" t="n">
        <x:f>IF(OR(B10="",R10&lt;&gt;"OK",N10=""),"",M10-N10)</x:f>
        <x:v>0</x:v>
      </x:c>
      <x:c r="P10" t="str">
        <x:v>Conforme</x:v>
      </x:c>
      <x:c r="Q10" s="76" t="str">
        <x:v>Même effet conservé</x:v>
      </x:c>
      <x:c r="R10" t="str">
        <x:f>IF(B10="","",IF(OR(C10&lt;0,E10&lt;1,D10&lt;0,F10&lt;0,D10&gt;C10,F10&gt;E10),"INTERDIT - slots dépassés","OK"))</x:f>
        <x:v>OK</x:v>
      </x:c>
    </x:row>
    <x:row r="11" ht="27" customHeight="1">
      <x:c r="A11" t="str">
        <x:v>Arc +2 sournois (+1) frugale (+1)</x:v>
      </x:c>
      <x:c r="B11" s="64" t="str">
        <x:v>Arme</x:v>
      </x:c>
      <x:c r="C11" s="64" t="n">
        <x:v>0</x:v>
      </x:c>
      <x:c r="D11" s="64" t="n">
        <x:v>0</x:v>
      </x:c>
      <x:c r="E11" s="64" t="n">
        <x:v>2</x:v>
      </x:c>
      <x:c r="F11" s="64" t="n">
        <x:v>2</x:v>
      </x:c>
      <x:c r="G11" t="n">
        <x:f>IF(OR(B11="",R11&lt;&gt;"OK"),"",C11*(C11+1)/2+D11)</x:f>
        <x:v>0</x:v>
      </x:c>
      <x:c r="H11" t="n">
        <x:f>IF(OR(B11="",R11&lt;&gt;"OK"),"",E11*(E11+1)/2+F11)</x:f>
        <x:v>5</x:v>
      </x:c>
      <x:c r="I11" s="68" t="n">
        <x:f>IF(OR(B11="",R11&lt;&gt;"OK"),"",'02 - Barème'!$B$3*G11^2*IF(B11="Arme",1,IF(B11="Armure/bouclier",'02 - Barème'!$B$4,'02 - Barème'!$B$5)))</x:f>
        <x:v>0</x:v>
      </x:c>
      <x:c r="J11" s="68" t="n">
        <x:f>IF(OR(B11="",R11&lt;&gt;"OK"),"",'02 - Barème'!$B$3*H11^2*IF(B11="Arme",1,IF(B11="Armure/bouclier",'02 - Barème'!$B$4,'02 - Barème'!$B$5)))</x:f>
        <x:v>25000</x:v>
      </x:c>
      <x:c r="K11" s="68" t="n">
        <x:f>IF(OR(B11="",R11&lt;&gt;"OK"),"",MAX(0,J11-I11))</x:f>
        <x:v>25000</x:v>
      </x:c>
      <x:c r="L11" s="74" t="n">
        <x:v>0</x:v>
      </x:c>
      <x:c r="M11" s="68" t="n">
        <x:f>IF(OR(B11="",R11&lt;&gt;"OK"),"",ROUND(MAX(0,MIN(K11,K11*(1+L11))),0))</x:f>
        <x:v>25000</x:v>
      </x:c>
      <x:c r="N11" s="70" t="n">
        <x:v>25000</x:v>
      </x:c>
      <x:c r="O11" s="68" t="n">
        <x:f>IF(OR(B11="",R11&lt;&gt;"OK",N11=""),"",M11-N11)</x:f>
        <x:v>0</x:v>
      </x:c>
      <x:c r="P11" t="str">
        <x:v>Conforme</x:v>
      </x:c>
      <x:c r="Q11" s="76" t="str">
        <x:v>Sournoise +1 + Frugale +1 = 2/2 slots. Coût : niveau (3 + 2)² × 1 000 = 25 000 po.</x:v>
      </x:c>
      <x:c r="R11" t="str">
        <x:f>IF(B11="","",IF(OR(C11&lt;0,E11&lt;1,D11&lt;0,F11&lt;0,D11&gt;C11,F11&gt;E11),"INTERDIT - slots dépassés","OK"))</x:f>
        <x:v>OK</x:v>
      </x:c>
    </x:row>
    <x:row r="12" ht="27" customHeight="1">
      <x:c r="A12" t="str">
        <x:v>Arc +2 : propriétés +1 et +2 (impossible)</x:v>
      </x:c>
      <x:c r="B12" s="64" t="str">
        <x:v>Arme</x:v>
      </x:c>
      <x:c r="C12" s="64" t="n">
        <x:v>0</x:v>
      </x:c>
      <x:c r="D12" s="64" t="n">
        <x:v>0</x:v>
      </x:c>
      <x:c r="E12" s="64" t="n">
        <x:v>2</x:v>
      </x:c>
      <x:c r="F12" s="64" t="n">
        <x:v>3</x:v>
      </x:c>
      <x:c r="G12" t="str">
        <x:f>IF(OR(B12="",R12&lt;&gt;"OK"),"",C12*(C12+1)/2+D12)</x:f>
      </x:c>
      <x:c r="H12" t="str">
        <x:f>IF(OR(B12="",R12&lt;&gt;"OK"),"",E12*(E12+1)/2+F12)</x:f>
      </x:c>
      <x:c r="I12" s="68" t="str">
        <x:f>IF(OR(B12="",R12&lt;&gt;"OK"),"",'02 - Barème'!$B$3*G12^2*IF(B12="Arme",1,IF(B12="Armure/bouclier",'02 - Barème'!$B$4,'02 - Barème'!$B$5)))</x:f>
      </x:c>
      <x:c r="J12" s="68" t="str">
        <x:f>IF(OR(B12="",R12&lt;&gt;"OK"),"",'02 - Barème'!$B$3*H12^2*IF(B12="Arme",1,IF(B12="Armure/bouclier",'02 - Barème'!$B$4,'02 - Barème'!$B$5)))</x:f>
      </x:c>
      <x:c r="K12" s="68" t="str">
        <x:f>IF(OR(B12="",R12&lt;&gt;"OK"),"",MAX(0,J12-I12))</x:f>
      </x:c>
      <x:c r="L12" s="74" t="n">
        <x:v>0</x:v>
      </x:c>
      <x:c r="M12" s="68" t="str">
        <x:f>IF(OR(B12="",R12&lt;&gt;"OK"),"",ROUND(MAX(0,MIN(K12,K12*(1+L12))),0))</x:f>
      </x:c>
      <x:c r="N12" s="70"/>
      <x:c r="O12" s="68" t="str">
        <x:f>IF(OR(B12="",R12&lt;&gt;"OK",N12=""),"",M12-N12)</x:f>
      </x:c>
      <x:c r="P12" t="str">
        <x:v>Non forgeable</x:v>
      </x:c>
      <x:c r="Q12" s="76" t="str">
        <x:v>3 slots consommés pour 2 disponibles : interdit, même si le calcul théorique donnerait 36 000 po.</x:v>
      </x:c>
      <x:c r="R12" t="str">
        <x:f>IF(B12="","",IF(OR(C12&lt;0,E12&lt;1,D12&lt;0,F12&lt;0,D12&gt;C12,F12&gt;E12),"INTERDIT - slots dépassés","OK"))</x:f>
        <x:v>INTERDIT - slots dépassés</x:v>
      </x:c>
    </x:row>
    <x:row r="13" ht="27" customHeight="1">
      <x:c r="A13" t="str">
        <x:v>Armure +2 → +3</x:v>
      </x:c>
      <x:c r="B13" s="64" t="str">
        <x:v>Armure/bouclier</x:v>
      </x:c>
      <x:c r="C13" s="64" t="n">
        <x:v>2</x:v>
      </x:c>
      <x:c r="D13" s="64" t="n">
        <x:v>0</x:v>
      </x:c>
      <x:c r="E13" s="64" t="n">
        <x:v>3</x:v>
      </x:c>
      <x:c r="F13" s="64" t="n">
        <x:v>0</x:v>
      </x:c>
      <x:c r="G13" t="n">
        <x:f>IF(OR(B13="",R13&lt;&gt;"OK"),"",C13*(C13+1)/2+D13)</x:f>
        <x:v>3</x:v>
      </x:c>
      <x:c r="H13" t="n">
        <x:f>IF(OR(B13="",R13&lt;&gt;"OK"),"",E13*(E13+1)/2+F13)</x:f>
        <x:v>6</x:v>
      </x:c>
      <x:c r="I13" s="68" t="n">
        <x:f>IF(OR(B13="",R13&lt;&gt;"OK"),"",'02 - Barème'!$B$3*G13^2*IF(B13="Arme",1,IF(B13="Armure/bouclier",'02 - Barème'!$B$4,'02 - Barème'!$B$5)))</x:f>
        <x:v>7650</x:v>
      </x:c>
      <x:c r="J13" s="68" t="n">
        <x:f>IF(OR(B13="",R13&lt;&gt;"OK"),"",'02 - Barème'!$B$3*H13^2*IF(B13="Arme",1,IF(B13="Armure/bouclier",'02 - Barème'!$B$4,'02 - Barème'!$B$5)))</x:f>
        <x:v>30600</x:v>
      </x:c>
      <x:c r="K13" s="68" t="n">
        <x:f>IF(OR(B13="",R13&lt;&gt;"OK"),"",MAX(0,J13-I13))</x:f>
        <x:v>22950</x:v>
      </x:c>
      <x:c r="L13" s="74" t="n">
        <x:v>0</x:v>
      </x:c>
      <x:c r="M13" s="68" t="n">
        <x:f>IF(OR(B13="",R13&lt;&gt;"OK"),"",ROUND(MAX(0,MIN(K13,K13*(1+L13))),0))</x:f>
        <x:v>22950</x:v>
      </x:c>
      <x:c r="N13" s="70" t="n">
        <x:v>22950</x:v>
      </x:c>
      <x:c r="O13" s="68" t="n">
        <x:f>IF(OR(B13="",R13&lt;&gt;"OK",N13=""),"",M13-N13)</x:f>
        <x:v>0</x:v>
      </x:c>
      <x:c r="P13" t="str">
        <x:v>Conforme</x:v>
      </x:c>
      <x:c r="Q13" s="76" t="str">
        <x:v>Égal au coût de base mentionné dans Flo</x:v>
      </x:c>
      <x:c r="R13" t="str">
        <x:f>IF(B13="","",IF(OR(C13&lt;0,E13&lt;1,D13&lt;0,F13&lt;0,D13&gt;C13,F13&gt;E13),"INTERDIT - slots dépassés","OK"))</x:f>
        <x:v>OK</x:v>
      </x:c>
    </x:row>
    <x:row r="14" ht="27" customHeight="1">
      <x:c r="A14" t="str">
        <x:v>Bouclier +2 → +3</x:v>
      </x:c>
      <x:c r="B14" s="64" t="str">
        <x:v>Armure/bouclier</x:v>
      </x:c>
      <x:c r="C14" s="64" t="n">
        <x:v>2</x:v>
      </x:c>
      <x:c r="D14" s="64" t="n">
        <x:v>0</x:v>
      </x:c>
      <x:c r="E14" s="64" t="n">
        <x:v>3</x:v>
      </x:c>
      <x:c r="F14" s="64" t="n">
        <x:v>0</x:v>
      </x:c>
      <x:c r="G14" t="n">
        <x:f>IF(OR(B14="",R14&lt;&gt;"OK"),"",C14*(C14+1)/2+D14)</x:f>
        <x:v>3</x:v>
      </x:c>
      <x:c r="H14" t="n">
        <x:f>IF(OR(B14="",R14&lt;&gt;"OK"),"",E14*(E14+1)/2+F14)</x:f>
        <x:v>6</x:v>
      </x:c>
      <x:c r="I14" s="68" t="n">
        <x:f>IF(OR(B14="",R14&lt;&gt;"OK"),"",'02 - Barème'!$B$3*G14^2*IF(B14="Arme",1,IF(B14="Armure/bouclier",'02 - Barème'!$B$4,'02 - Barème'!$B$5)))</x:f>
        <x:v>7650</x:v>
      </x:c>
      <x:c r="J14" s="68" t="n">
        <x:f>IF(OR(B14="",R14&lt;&gt;"OK"),"",'02 - Barème'!$B$3*H14^2*IF(B14="Arme",1,IF(B14="Armure/bouclier",'02 - Barème'!$B$4,'02 - Barème'!$B$5)))</x:f>
        <x:v>30600</x:v>
      </x:c>
      <x:c r="K14" s="68" t="n">
        <x:f>IF(OR(B14="",R14&lt;&gt;"OK"),"",MAX(0,J14-I14))</x:f>
        <x:v>22950</x:v>
      </x:c>
      <x:c r="L14" s="74" t="n">
        <x:v>0</x:v>
      </x:c>
      <x:c r="M14" s="68" t="n">
        <x:f>IF(OR(B14="",R14&lt;&gt;"OK"),"",ROUND(MAX(0,MIN(K14,K14*(1+L14))),0))</x:f>
        <x:v>22950</x:v>
      </x:c>
      <x:c r="N14" s="70" t="n">
        <x:v>22950</x:v>
      </x:c>
      <x:c r="O14" s="68" t="n">
        <x:f>IF(OR(B14="",R14&lt;&gt;"OK",N14=""),"",M14-N14)</x:f>
        <x:v>0</x:v>
      </x:c>
      <x:c r="P14" t="str">
        <x:v>Conforme</x:v>
      </x:c>
      <x:c r="Q14" s="76" t="str">
        <x:v>Égal au coût de base mentionné dans Flo</x:v>
      </x:c>
      <x:c r="R14" t="str">
        <x:f>IF(B14="","",IF(OR(C14&lt;0,E14&lt;1,D14&lt;0,F14&lt;0,D14&gt;C14,F14&gt;E14),"INTERDIT - slots dépassés","OK"))</x:f>
        <x:v>OK</x:v>
      </x:c>
    </x:row>
    <x:row r="15" ht="27" customHeight="1">
      <x:c r="A15" t="str">
        <x:v>Bouclier +3 gardesort (+2)</x:v>
      </x:c>
      <x:c r="B15" s="64" t="str">
        <x:v>Armure/bouclier</x:v>
      </x:c>
      <x:c r="C15" s="64" t="n">
        <x:v>0</x:v>
      </x:c>
      <x:c r="D15" s="64" t="n">
        <x:v>0</x:v>
      </x:c>
      <x:c r="E15" s="64" t="n">
        <x:v>3</x:v>
      </x:c>
      <x:c r="F15" s="64" t="n">
        <x:v>2</x:v>
      </x:c>
      <x:c r="G15" t="n">
        <x:f>IF(OR(B15="",R15&lt;&gt;"OK"),"",C15*(C15+1)/2+D15)</x:f>
        <x:v>0</x:v>
      </x:c>
      <x:c r="H15" t="n">
        <x:f>IF(OR(B15="",R15&lt;&gt;"OK"),"",E15*(E15+1)/2+F15)</x:f>
        <x:v>8</x:v>
      </x:c>
      <x:c r="I15" s="68" t="n">
        <x:f>IF(OR(B15="",R15&lt;&gt;"OK"),"",'02 - Barème'!$B$3*G15^2*IF(B15="Arme",1,IF(B15="Armure/bouclier",'02 - Barème'!$B$4,'02 - Barème'!$B$5)))</x:f>
        <x:v>0</x:v>
      </x:c>
      <x:c r="J15" s="68" t="n">
        <x:f>IF(OR(B15="",R15&lt;&gt;"OK"),"",'02 - Barème'!$B$3*H15^2*IF(B15="Arme",1,IF(B15="Armure/bouclier",'02 - Barème'!$B$4,'02 - Barème'!$B$5)))</x:f>
        <x:v>54400</x:v>
      </x:c>
      <x:c r="K15" s="68" t="n">
        <x:f>IF(OR(B15="",R15&lt;&gt;"OK"),"",MAX(0,J15-I15))</x:f>
        <x:v>54400</x:v>
      </x:c>
      <x:c r="L15" s="74" t="n">
        <x:v>0</x:v>
      </x:c>
      <x:c r="M15" s="68" t="n">
        <x:f>IF(OR(B15="",R15&lt;&gt;"OK"),"",ROUND(MAX(0,MIN(K15,K15*(1+L15))),0))</x:f>
        <x:v>54400</x:v>
      </x:c>
      <x:c r="N15" s="70" t="n">
        <x:v>41500</x:v>
      </x:c>
      <x:c r="O15" s="68" t="n">
        <x:f>IF(OR(B15="",R15&lt;&gt;"OK",N15=""),"",M15-N15)</x:f>
        <x:v>12900</x:v>
      </x:c>
      <x:c r="P15" t="str">
        <x:v>À arbitrer</x:v>
      </x:c>
      <x:c r="Q15" s="76" t="str">
        <x:v>La source Flo indique 41 500 po ; calcul catalogue pas équivalent à prix de forge</x:v>
      </x:c>
      <x:c r="R15" t="str">
        <x:f>IF(B15="","",IF(OR(C15&lt;0,E15&lt;1,D15&lt;0,F15&lt;0,D15&gt;C15,F15&gt;E15),"INTERDIT - slots dépassés","OK"))</x:f>
        <x:v>OK</x:v>
      </x:c>
    </x:row>
    <x:row r="16" ht="27" customHeight="1">
      <x:c r="A16" t="str">
        <x:v>Arme +1 → +2 de feu</x:v>
      </x:c>
      <x:c r="B16" s="64" t="str">
        <x:v>Arme</x:v>
      </x:c>
      <x:c r="C16" s="64" t="n">
        <x:v>1</x:v>
      </x:c>
      <x:c r="D16" s="64" t="n">
        <x:v>0</x:v>
      </x:c>
      <x:c r="E16" s="64" t="n">
        <x:v>2</x:v>
      </x:c>
      <x:c r="F16" s="64" t="n">
        <x:v>1</x:v>
      </x:c>
      <x:c r="G16" t="n">
        <x:f>IF(OR(B16="",R16&lt;&gt;"OK"),"",C16*(C16+1)/2+D16)</x:f>
        <x:v>1</x:v>
      </x:c>
      <x:c r="H16" t="n">
        <x:f>IF(OR(B16="",R16&lt;&gt;"OK"),"",E16*(E16+1)/2+F16)</x:f>
        <x:v>4</x:v>
      </x:c>
      <x:c r="I16" s="68" t="n">
        <x:f>IF(OR(B16="",R16&lt;&gt;"OK"),"",'02 - Barème'!$B$3*G16^2*IF(B16="Arme",1,IF(B16="Armure/bouclier",'02 - Barème'!$B$4,'02 - Barème'!$B$5)))</x:f>
        <x:v>1000</x:v>
      </x:c>
      <x:c r="J16" s="68" t="n">
        <x:f>IF(OR(B16="",R16&lt;&gt;"OK"),"",'02 - Barème'!$B$3*H16^2*IF(B16="Arme",1,IF(B16="Armure/bouclier",'02 - Barème'!$B$4,'02 - Barème'!$B$5)))</x:f>
        <x:v>16000</x:v>
      </x:c>
      <x:c r="K16" s="68" t="n">
        <x:f>IF(OR(B16="",R16&lt;&gt;"OK"),"",MAX(0,J16-I16))</x:f>
        <x:v>15000</x:v>
      </x:c>
      <x:c r="L16" s="74" t="n">
        <x:v>0</x:v>
      </x:c>
      <x:c r="M16" s="68" t="n">
        <x:f>IF(OR(B16="",R16&lt;&gt;"OK"),"",ROUND(MAX(0,MIN(K16,K16*(1+L16))),0))</x:f>
        <x:v>15000</x:v>
      </x:c>
      <x:c r="N16" s="70"/>
      <x:c r="O16" s="68" t="str">
        <x:f>IF(OR(B16="",R16&lt;&gt;"OK",N16=""),"",M16-N16)</x:f>
      </x:c>
      <x:c r="P16" t="str">
        <x:v>Simulation</x:v>
      </x:c>
      <x:c r="Q16" s="76" t="str">
        <x:v>Altération + effet nouveau</x:v>
      </x:c>
      <x:c r="R16" t="str">
        <x:f>IF(B16="","",IF(OR(C16&lt;0,E16&lt;1,D16&lt;0,F16&lt;0,D16&gt;C16,F16&gt;E16),"INTERDIT - slots dépassés","OK"))</x:f>
        <x:v>OK</x:v>
      </x:c>
    </x:row>
    <x:row r="17" ht="27" customHeight="1">
      <x:c r="B17" s="64"/>
      <x:c r="C17" s="64"/>
      <x:c r="D17" s="64"/>
      <x:c r="E17" s="64"/>
      <x:c r="F17" s="64"/>
      <x:c r="G17" t="str">
        <x:f>IF(OR(B17="",R17&lt;&gt;"OK"),"",C17*(C17+1)/2+D17)</x:f>
      </x:c>
      <x:c r="H17" t="str">
        <x:f>IF(OR(B17="",R17&lt;&gt;"OK"),"",E17*(E17+1)/2+F17)</x:f>
      </x:c>
      <x:c r="I17" s="68" t="str">
        <x:f>IF(OR(B17="",R17&lt;&gt;"OK"),"",'02 - Barème'!$B$3*G17^2*IF(B17="Arme",1,IF(B17="Armure/bouclier",'02 - Barème'!$B$4,'02 - Barème'!$B$5)))</x:f>
      </x:c>
      <x:c r="J17" s="68" t="str">
        <x:f>IF(OR(B17="",R17&lt;&gt;"OK"),"",'02 - Barème'!$B$3*H17^2*IF(B17="Arme",1,IF(B17="Armure/bouclier",'02 - Barème'!$B$4,'02 - Barème'!$B$5)))</x:f>
      </x:c>
      <x:c r="K17" s="68" t="str">
        <x:f>IF(OR(B17="",R17&lt;&gt;"OK"),"",MAX(0,J17-I17))</x:f>
      </x:c>
      <x:c r="L17" s="74" t="n">
        <x:v>0</x:v>
      </x:c>
      <x:c r="M17" s="68" t="str">
        <x:f>IF(OR(B17="",R17&lt;&gt;"OK"),"",ROUND(MAX(0,MIN(K17,K17*(1+L17))),0))</x:f>
      </x:c>
      <x:c r="N17" s="70"/>
      <x:c r="O17" s="68" t="str">
        <x:f>IF(OR(B17="",R17&lt;&gt;"OK",N17=""),"",M17-N17)</x:f>
      </x:c>
      <x:c r="Q17" s="76"/>
      <x:c r="R17" t="str">
        <x:f>IF(B17="","",IF(OR(C17&lt;0,E17&lt;1,D17&lt;0,F17&lt;0,D17&gt;C17,F17&gt;E17),"INTERDIT - slots dépassés","OK"))</x:f>
      </x:c>
    </x:row>
    <x:row r="18" ht="27" customHeight="1">
      <x:c r="B18" s="64"/>
      <x:c r="C18" s="64"/>
      <x:c r="D18" s="64"/>
      <x:c r="E18" s="64"/>
      <x:c r="F18" s="64"/>
      <x:c r="G18" t="str">
        <x:f>IF(OR(B18="",R18&lt;&gt;"OK"),"",C18*(C18+1)/2+D18)</x:f>
      </x:c>
      <x:c r="H18" t="str">
        <x:f>IF(OR(B18="",R18&lt;&gt;"OK"),"",E18*(E18+1)/2+F18)</x:f>
      </x:c>
      <x:c r="I18" s="68" t="str">
        <x:f>IF(OR(B18="",R18&lt;&gt;"OK"),"",'02 - Barème'!$B$3*G18^2*IF(B18="Arme",1,IF(B18="Armure/bouclier",'02 - Barème'!$B$4,'02 - Barème'!$B$5)))</x:f>
      </x:c>
      <x:c r="J18" s="68" t="str">
        <x:f>IF(OR(B18="",R18&lt;&gt;"OK"),"",'02 - Barème'!$B$3*H18^2*IF(B18="Arme",1,IF(B18="Armure/bouclier",'02 - Barème'!$B$4,'02 - Barème'!$B$5)))</x:f>
      </x:c>
      <x:c r="K18" s="68" t="str">
        <x:f>IF(OR(B18="",R18&lt;&gt;"OK"),"",MAX(0,J18-I18))</x:f>
      </x:c>
      <x:c r="L18" s="74" t="n">
        <x:v>0</x:v>
      </x:c>
      <x:c r="M18" s="68" t="str">
        <x:f>IF(OR(B18="",R18&lt;&gt;"OK"),"",ROUND(MAX(0,MIN(K18,K18*(1+L18))),0))</x:f>
      </x:c>
      <x:c r="N18" s="70"/>
      <x:c r="O18" s="68" t="str">
        <x:f>IF(OR(B18="",R18&lt;&gt;"OK",N18=""),"",M18-N18)</x:f>
      </x:c>
      <x:c r="Q18" s="76"/>
      <x:c r="R18" t="str">
        <x:f>IF(B18="","",IF(OR(C18&lt;0,E18&lt;1,D18&lt;0,F18&lt;0,D18&gt;C18,F18&gt;E18),"INTERDIT - slots dépassés","OK"))</x:f>
      </x:c>
    </x:row>
    <x:row r="19" ht="27" customHeight="1">
      <x:c r="B19" s="64"/>
      <x:c r="C19" s="64"/>
      <x:c r="D19" s="64"/>
      <x:c r="E19" s="64"/>
      <x:c r="F19" s="64"/>
      <x:c r="G19" t="str">
        <x:f>IF(OR(B19="",R19&lt;&gt;"OK"),"",C19*(C19+1)/2+D19)</x:f>
      </x:c>
      <x:c r="H19" t="str">
        <x:f>IF(OR(B19="",R19&lt;&gt;"OK"),"",E19*(E19+1)/2+F19)</x:f>
      </x:c>
      <x:c r="I19" s="68" t="str">
        <x:f>IF(OR(B19="",R19&lt;&gt;"OK"),"",'02 - Barème'!$B$3*G19^2*IF(B19="Arme",1,IF(B19="Armure/bouclier",'02 - Barème'!$B$4,'02 - Barème'!$B$5)))</x:f>
      </x:c>
      <x:c r="J19" s="68" t="str">
        <x:f>IF(OR(B19="",R19&lt;&gt;"OK"),"",'02 - Barème'!$B$3*H19^2*IF(B19="Arme",1,IF(B19="Armure/bouclier",'02 - Barème'!$B$4,'02 - Barème'!$B$5)))</x:f>
      </x:c>
      <x:c r="K19" s="68" t="str">
        <x:f>IF(OR(B19="",R19&lt;&gt;"OK"),"",MAX(0,J19-I19))</x:f>
      </x:c>
      <x:c r="L19" s="74" t="n">
        <x:v>0</x:v>
      </x:c>
      <x:c r="M19" s="68" t="str">
        <x:f>IF(OR(B19="",R19&lt;&gt;"OK"),"",ROUND(MAX(0,MIN(K19,K19*(1+L19))),0))</x:f>
      </x:c>
      <x:c r="N19" s="70"/>
      <x:c r="O19" s="68" t="str">
        <x:f>IF(OR(B19="",R19&lt;&gt;"OK",N19=""),"",M19-N19)</x:f>
      </x:c>
      <x:c r="Q19" s="76"/>
      <x:c r="R19" t="str">
        <x:f>IF(B19="","",IF(OR(C19&lt;0,E19&lt;1,D19&lt;0,F19&lt;0,D19&gt;C19,F19&gt;E19),"INTERDIT - slots dépassés","OK"))</x:f>
      </x:c>
    </x:row>
    <x:row r="20" ht="27" customHeight="1">
      <x:c r="B20" s="64"/>
      <x:c r="C20" s="64"/>
      <x:c r="D20" s="64"/>
      <x:c r="E20" s="64"/>
      <x:c r="F20" s="64"/>
      <x:c r="G20" t="str">
        <x:f>IF(OR(B20="",R20&lt;&gt;"OK"),"",C20*(C20+1)/2+D20)</x:f>
      </x:c>
      <x:c r="H20" t="str">
        <x:f>IF(OR(B20="",R20&lt;&gt;"OK"),"",E20*(E20+1)/2+F20)</x:f>
      </x:c>
      <x:c r="I20" s="68" t="str">
        <x:f>IF(OR(B20="",R20&lt;&gt;"OK"),"",'02 - Barème'!$B$3*G20^2*IF(B20="Arme",1,IF(B20="Armure/bouclier",'02 - Barème'!$B$4,'02 - Barème'!$B$5)))</x:f>
      </x:c>
      <x:c r="J20" s="68" t="str">
        <x:f>IF(OR(B20="",R20&lt;&gt;"OK"),"",'02 - Barème'!$B$3*H20^2*IF(B20="Arme",1,IF(B20="Armure/bouclier",'02 - Barème'!$B$4,'02 - Barème'!$B$5)))</x:f>
      </x:c>
      <x:c r="K20" s="68" t="str">
        <x:f>IF(OR(B20="",R20&lt;&gt;"OK"),"",MAX(0,J20-I20))</x:f>
      </x:c>
      <x:c r="L20" s="74" t="n">
        <x:v>0</x:v>
      </x:c>
      <x:c r="M20" s="68" t="str">
        <x:f>IF(OR(B20="",R20&lt;&gt;"OK"),"",ROUND(MAX(0,MIN(K20,K20*(1+L20))),0))</x:f>
      </x:c>
      <x:c r="N20" s="70"/>
      <x:c r="O20" s="68" t="str">
        <x:f>IF(OR(B20="",R20&lt;&gt;"OK",N20=""),"",M20-N20)</x:f>
      </x:c>
      <x:c r="Q20" s="76"/>
      <x:c r="R20" t="str">
        <x:f>IF(B20="","",IF(OR(C20&lt;0,E20&lt;1,D20&lt;0,F20&lt;0,D20&gt;C20,F20&gt;E20),"INTERDIT - slots dépassés","OK"))</x:f>
      </x:c>
    </x:row>
    <x:row r="21" ht="27" customHeight="1">
      <x:c r="B21" s="64"/>
      <x:c r="C21" s="64"/>
      <x:c r="D21" s="64"/>
      <x:c r="E21" s="64"/>
      <x:c r="F21" s="64"/>
      <x:c r="G21" t="str">
        <x:f>IF(OR(B21="",R21&lt;&gt;"OK"),"",C21*(C21+1)/2+D21)</x:f>
      </x:c>
      <x:c r="H21" t="str">
        <x:f>IF(OR(B21="",R21&lt;&gt;"OK"),"",E21*(E21+1)/2+F21)</x:f>
      </x:c>
      <x:c r="I21" s="68" t="str">
        <x:f>IF(OR(B21="",R21&lt;&gt;"OK"),"",'02 - Barème'!$B$3*G21^2*IF(B21="Arme",1,IF(B21="Armure/bouclier",'02 - Barème'!$B$4,'02 - Barème'!$B$5)))</x:f>
      </x:c>
      <x:c r="J21" s="68" t="str">
        <x:f>IF(OR(B21="",R21&lt;&gt;"OK"),"",'02 - Barème'!$B$3*H21^2*IF(B21="Arme",1,IF(B21="Armure/bouclier",'02 - Barème'!$B$4,'02 - Barème'!$B$5)))</x:f>
      </x:c>
      <x:c r="K21" s="68" t="str">
        <x:f>IF(OR(B21="",R21&lt;&gt;"OK"),"",MAX(0,J21-I21))</x:f>
      </x:c>
      <x:c r="L21" s="74" t="n">
        <x:v>0</x:v>
      </x:c>
      <x:c r="M21" s="68" t="str">
        <x:f>IF(OR(B21="",R21&lt;&gt;"OK"),"",ROUND(MAX(0,MIN(K21,K21*(1+L21))),0))</x:f>
      </x:c>
      <x:c r="N21" s="70"/>
      <x:c r="O21" s="68" t="str">
        <x:f>IF(OR(B21="",R21&lt;&gt;"OK",N21=""),"",M21-N21)</x:f>
      </x:c>
      <x:c r="Q21" s="76"/>
      <x:c r="R21" t="str">
        <x:f>IF(B21="","",IF(OR(C21&lt;0,E21&lt;1,D21&lt;0,F21&lt;0,D21&gt;C21,F21&gt;E21),"INTERDIT - slots dépassés","OK"))</x:f>
      </x:c>
    </x:row>
    <x:row r="22" ht="27" customHeight="1">
      <x:c r="B22" s="64"/>
      <x:c r="C22" s="64"/>
      <x:c r="D22" s="64"/>
      <x:c r="E22" s="64"/>
      <x:c r="F22" s="64"/>
      <x:c r="G22" t="str">
        <x:f>IF(OR(B22="",R22&lt;&gt;"OK"),"",C22*(C22+1)/2+D22)</x:f>
      </x:c>
      <x:c r="H22" t="str">
        <x:f>IF(OR(B22="",R22&lt;&gt;"OK"),"",E22*(E22+1)/2+F22)</x:f>
      </x:c>
      <x:c r="I22" s="68" t="str">
        <x:f>IF(OR(B22="",R22&lt;&gt;"OK"),"",'02 - Barème'!$B$3*G22^2*IF(B22="Arme",1,IF(B22="Armure/bouclier",'02 - Barème'!$B$4,'02 - Barème'!$B$5)))</x:f>
      </x:c>
      <x:c r="J22" s="68" t="str">
        <x:f>IF(OR(B22="",R22&lt;&gt;"OK"),"",'02 - Barème'!$B$3*H22^2*IF(B22="Arme",1,IF(B22="Armure/bouclier",'02 - Barème'!$B$4,'02 - Barème'!$B$5)))</x:f>
      </x:c>
      <x:c r="K22" s="68" t="str">
        <x:f>IF(OR(B22="",R22&lt;&gt;"OK"),"",MAX(0,J22-I22))</x:f>
      </x:c>
      <x:c r="L22" s="74" t="n">
        <x:v>0</x:v>
      </x:c>
      <x:c r="M22" s="68" t="str">
        <x:f>IF(OR(B22="",R22&lt;&gt;"OK"),"",ROUND(MAX(0,MIN(K22,K22*(1+L22))),0))</x:f>
      </x:c>
      <x:c r="N22" s="70"/>
      <x:c r="O22" s="68" t="str">
        <x:f>IF(OR(B22="",R22&lt;&gt;"OK",N22=""),"",M22-N22)</x:f>
      </x:c>
      <x:c r="Q22" s="76"/>
      <x:c r="R22" t="str">
        <x:f>IF(B22="","",IF(OR(C22&lt;0,E22&lt;1,D22&lt;0,F22&lt;0,D22&gt;C22,F22&gt;E22),"INTERDIT - slots dépassés","OK"))</x:f>
      </x:c>
    </x:row>
    <x:row r="23" ht="27" customHeight="1">
      <x:c r="B23" s="64"/>
      <x:c r="C23" s="64"/>
      <x:c r="D23" s="64"/>
      <x:c r="E23" s="64"/>
      <x:c r="F23" s="64"/>
      <x:c r="G23" t="str">
        <x:f>IF(OR(B23="",R23&lt;&gt;"OK"),"",C23*(C23+1)/2+D23)</x:f>
      </x:c>
      <x:c r="H23" t="str">
        <x:f>IF(OR(B23="",R23&lt;&gt;"OK"),"",E23*(E23+1)/2+F23)</x:f>
      </x:c>
      <x:c r="I23" s="68" t="str">
        <x:f>IF(OR(B23="",R23&lt;&gt;"OK"),"",'02 - Barème'!$B$3*G23^2*IF(B23="Arme",1,IF(B23="Armure/bouclier",'02 - Barème'!$B$4,'02 - Barème'!$B$5)))</x:f>
      </x:c>
      <x:c r="J23" s="68" t="str">
        <x:f>IF(OR(B23="",R23&lt;&gt;"OK"),"",'02 - Barème'!$B$3*H23^2*IF(B23="Arme",1,IF(B23="Armure/bouclier",'02 - Barème'!$B$4,'02 - Barème'!$B$5)))</x:f>
      </x:c>
      <x:c r="K23" s="68" t="str">
        <x:f>IF(OR(B23="",R23&lt;&gt;"OK"),"",MAX(0,J23-I23))</x:f>
      </x:c>
      <x:c r="L23" s="74" t="n">
        <x:v>0</x:v>
      </x:c>
      <x:c r="M23" s="68" t="str">
        <x:f>IF(OR(B23="",R23&lt;&gt;"OK"),"",ROUND(MAX(0,MIN(K23,K23*(1+L23))),0))</x:f>
      </x:c>
      <x:c r="N23" s="70"/>
      <x:c r="O23" s="68" t="str">
        <x:f>IF(OR(B23="",R23&lt;&gt;"OK",N23=""),"",M23-N23)</x:f>
      </x:c>
      <x:c r="Q23" s="76"/>
      <x:c r="R23" t="str">
        <x:f>IF(B23="","",IF(OR(C23&lt;0,E23&lt;1,D23&lt;0,F23&lt;0,D23&gt;C23,F23&gt;E23),"INTERDIT - slots dépassés","OK"))</x:f>
      </x:c>
    </x:row>
    <x:row r="24" ht="27" customHeight="1">
      <x:c r="B24" s="64"/>
      <x:c r="C24" s="64"/>
      <x:c r="D24" s="64"/>
      <x:c r="E24" s="64"/>
      <x:c r="F24" s="64"/>
      <x:c r="G24" t="str">
        <x:f>IF(OR(B24="",R24&lt;&gt;"OK"),"",C24*(C24+1)/2+D24)</x:f>
      </x:c>
      <x:c r="H24" t="str">
        <x:f>IF(OR(B24="",R24&lt;&gt;"OK"),"",E24*(E24+1)/2+F24)</x:f>
      </x:c>
      <x:c r="I24" s="68" t="str">
        <x:f>IF(OR(B24="",R24&lt;&gt;"OK"),"",'02 - Barème'!$B$3*G24^2*IF(B24="Arme",1,IF(B24="Armure/bouclier",'02 - Barème'!$B$4,'02 - Barème'!$B$5)))</x:f>
      </x:c>
      <x:c r="J24" s="68" t="str">
        <x:f>IF(OR(B24="",R24&lt;&gt;"OK"),"",'02 - Barème'!$B$3*H24^2*IF(B24="Arme",1,IF(B24="Armure/bouclier",'02 - Barème'!$B$4,'02 - Barème'!$B$5)))</x:f>
      </x:c>
      <x:c r="K24" s="68" t="str">
        <x:f>IF(OR(B24="",R24&lt;&gt;"OK"),"",MAX(0,J24-I24))</x:f>
      </x:c>
      <x:c r="L24" s="74" t="n">
        <x:v>0</x:v>
      </x:c>
      <x:c r="M24" s="68" t="str">
        <x:f>IF(OR(B24="",R24&lt;&gt;"OK"),"",ROUND(MAX(0,MIN(K24,K24*(1+L24))),0))</x:f>
      </x:c>
      <x:c r="N24" s="70"/>
      <x:c r="O24" s="68" t="str">
        <x:f>IF(OR(B24="",R24&lt;&gt;"OK",N24=""),"",M24-N24)</x:f>
      </x:c>
      <x:c r="Q24" s="76"/>
      <x:c r="R24" t="str">
        <x:f>IF(B24="","",IF(OR(C24&lt;0,E24&lt;1,D24&lt;0,F24&lt;0,D24&gt;C24,F24&gt;E24),"INTERDIT - slots dépassés","OK"))</x:f>
      </x:c>
    </x:row>
    <x:row r="25" ht="27" customHeight="1">
      <x:c r="B25" s="64"/>
      <x:c r="C25" s="64"/>
      <x:c r="D25" s="64"/>
      <x:c r="E25" s="64"/>
      <x:c r="F25" s="64"/>
      <x:c r="G25" t="str">
        <x:f>IF(OR(B25="",R25&lt;&gt;"OK"),"",C25*(C25+1)/2+D25)</x:f>
      </x:c>
      <x:c r="H25" t="str">
        <x:f>IF(OR(B25="",R25&lt;&gt;"OK"),"",E25*(E25+1)/2+F25)</x:f>
      </x:c>
      <x:c r="I25" s="68" t="str">
        <x:f>IF(OR(B25="",R25&lt;&gt;"OK"),"",'02 - Barème'!$B$3*G25^2*IF(B25="Arme",1,IF(B25="Armure/bouclier",'02 - Barème'!$B$4,'02 - Barème'!$B$5)))</x:f>
      </x:c>
      <x:c r="J25" s="68" t="str">
        <x:f>IF(OR(B25="",R25&lt;&gt;"OK"),"",'02 - Barème'!$B$3*H25^2*IF(B25="Arme",1,IF(B25="Armure/bouclier",'02 - Barème'!$B$4,'02 - Barème'!$B$5)))</x:f>
      </x:c>
      <x:c r="K25" s="68" t="str">
        <x:f>IF(OR(B25="",R25&lt;&gt;"OK"),"",MAX(0,J25-I25))</x:f>
      </x:c>
      <x:c r="L25" s="74" t="n">
        <x:v>0</x:v>
      </x:c>
      <x:c r="M25" s="68" t="str">
        <x:f>IF(OR(B25="",R25&lt;&gt;"OK"),"",ROUND(MAX(0,MIN(K25,K25*(1+L25))),0))</x:f>
      </x:c>
      <x:c r="N25" s="70"/>
      <x:c r="O25" s="68" t="str">
        <x:f>IF(OR(B25="",R25&lt;&gt;"OK",N25=""),"",M25-N25)</x:f>
      </x:c>
      <x:c r="Q25" s="76"/>
      <x:c r="R25" t="str">
        <x:f>IF(B25="","",IF(OR(C25&lt;0,E25&lt;1,D25&lt;0,F25&lt;0,D25&gt;C25,F25&gt;E25),"INTERDIT - slots dépassés","OK"))</x:f>
      </x:c>
    </x:row>
    <x:row r="26" ht="27" customHeight="1">
      <x:c r="B26" s="64"/>
      <x:c r="C26" s="64"/>
      <x:c r="D26" s="64"/>
      <x:c r="E26" s="64"/>
      <x:c r="F26" s="64"/>
      <x:c r="G26" t="str">
        <x:f>IF(OR(B26="",R26&lt;&gt;"OK"),"",C26*(C26+1)/2+D26)</x:f>
      </x:c>
      <x:c r="H26" t="str">
        <x:f>IF(OR(B26="",R26&lt;&gt;"OK"),"",E26*(E26+1)/2+F26)</x:f>
      </x:c>
      <x:c r="I26" s="68" t="str">
        <x:f>IF(OR(B26="",R26&lt;&gt;"OK"),"",'02 - Barème'!$B$3*G26^2*IF(B26="Arme",1,IF(B26="Armure/bouclier",'02 - Barème'!$B$4,'02 - Barème'!$B$5)))</x:f>
      </x:c>
      <x:c r="J26" s="68" t="str">
        <x:f>IF(OR(B26="",R26&lt;&gt;"OK"),"",'02 - Barème'!$B$3*H26^2*IF(B26="Arme",1,IF(B26="Armure/bouclier",'02 - Barème'!$B$4,'02 - Barème'!$B$5)))</x:f>
      </x:c>
      <x:c r="K26" s="68" t="str">
        <x:f>IF(OR(B26="",R26&lt;&gt;"OK"),"",MAX(0,J26-I26))</x:f>
      </x:c>
      <x:c r="L26" s="74" t="n">
        <x:v>0</x:v>
      </x:c>
      <x:c r="M26" s="68" t="str">
        <x:f>IF(OR(B26="",R26&lt;&gt;"OK"),"",ROUND(MAX(0,MIN(K26,K26*(1+L26))),0))</x:f>
      </x:c>
      <x:c r="N26" s="70"/>
      <x:c r="O26" s="68" t="str">
        <x:f>IF(OR(B26="",R26&lt;&gt;"OK",N26=""),"",M26-N26)</x:f>
      </x:c>
      <x:c r="Q26" s="76"/>
      <x:c r="R26" t="str">
        <x:f>IF(B26="","",IF(OR(C26&lt;0,E26&lt;1,D26&lt;0,F26&lt;0,D26&gt;C26,F26&gt;E26),"INTERDIT - slots dépassés","OK"))</x:f>
      </x:c>
    </x:row>
    <x:row r="27" ht="27" customHeight="1">
      <x:c r="B27" s="64"/>
      <x:c r="C27" s="64"/>
      <x:c r="D27" s="64"/>
      <x:c r="E27" s="64"/>
      <x:c r="F27" s="64"/>
      <x:c r="G27" t="str">
        <x:f>IF(OR(B27="",R27&lt;&gt;"OK"),"",C27*(C27+1)/2+D27)</x:f>
      </x:c>
      <x:c r="H27" t="str">
        <x:f>IF(OR(B27="",R27&lt;&gt;"OK"),"",E27*(E27+1)/2+F27)</x:f>
      </x:c>
      <x:c r="I27" s="68" t="str">
        <x:f>IF(OR(B27="",R27&lt;&gt;"OK"),"",'02 - Barème'!$B$3*G27^2*IF(B27="Arme",1,IF(B27="Armure/bouclier",'02 - Barème'!$B$4,'02 - Barème'!$B$5)))</x:f>
      </x:c>
      <x:c r="J27" s="68" t="str">
        <x:f>IF(OR(B27="",R27&lt;&gt;"OK"),"",'02 - Barème'!$B$3*H27^2*IF(B27="Arme",1,IF(B27="Armure/bouclier",'02 - Barème'!$B$4,'02 - Barème'!$B$5)))</x:f>
      </x:c>
      <x:c r="K27" s="68" t="str">
        <x:f>IF(OR(B27="",R27&lt;&gt;"OK"),"",MAX(0,J27-I27))</x:f>
      </x:c>
      <x:c r="L27" s="74" t="n">
        <x:v>0</x:v>
      </x:c>
      <x:c r="M27" s="68" t="str">
        <x:f>IF(OR(B27="",R27&lt;&gt;"OK"),"",ROUND(MAX(0,MIN(K27,K27*(1+L27))),0))</x:f>
      </x:c>
      <x:c r="N27" s="70"/>
      <x:c r="O27" s="68" t="str">
        <x:f>IF(OR(B27="",R27&lt;&gt;"OK",N27=""),"",M27-N27)</x:f>
      </x:c>
      <x:c r="Q27" s="76"/>
      <x:c r="R27" t="str">
        <x:f>IF(B27="","",IF(OR(C27&lt;0,E27&lt;1,D27&lt;0,F27&lt;0,D27&gt;C27,F27&gt;E27),"INTERDIT - slots dépassés","OK"))</x:f>
      </x:c>
    </x:row>
    <x:row r="28" ht="27" customHeight="1">
      <x:c r="B28" s="64"/>
      <x:c r="C28" s="64"/>
      <x:c r="D28" s="64"/>
      <x:c r="E28" s="64"/>
      <x:c r="F28" s="64"/>
      <x:c r="G28" t="str">
        <x:f>IF(OR(B28="",R28&lt;&gt;"OK"),"",C28*(C28+1)/2+D28)</x:f>
      </x:c>
      <x:c r="H28" t="str">
        <x:f>IF(OR(B28="",R28&lt;&gt;"OK"),"",E28*(E28+1)/2+F28)</x:f>
      </x:c>
      <x:c r="I28" s="68" t="str">
        <x:f>IF(OR(B28="",R28&lt;&gt;"OK"),"",'02 - Barème'!$B$3*G28^2*IF(B28="Arme",1,IF(B28="Armure/bouclier",'02 - Barème'!$B$4,'02 - Barème'!$B$5)))</x:f>
      </x:c>
      <x:c r="J28" s="68" t="str">
        <x:f>IF(OR(B28="",R28&lt;&gt;"OK"),"",'02 - Barème'!$B$3*H28^2*IF(B28="Arme",1,IF(B28="Armure/bouclier",'02 - Barème'!$B$4,'02 - Barème'!$B$5)))</x:f>
      </x:c>
      <x:c r="K28" s="68" t="str">
        <x:f>IF(OR(B28="",R28&lt;&gt;"OK"),"",MAX(0,J28-I28))</x:f>
      </x:c>
      <x:c r="L28" s="74" t="n">
        <x:v>0</x:v>
      </x:c>
      <x:c r="M28" s="68" t="str">
        <x:f>IF(OR(B28="",R28&lt;&gt;"OK"),"",ROUND(MAX(0,MIN(K28,K28*(1+L28))),0))</x:f>
      </x:c>
      <x:c r="N28" s="70"/>
      <x:c r="O28" s="68" t="str">
        <x:f>IF(OR(B28="",R28&lt;&gt;"OK",N28=""),"",M28-N28)</x:f>
      </x:c>
      <x:c r="Q28" s="76"/>
      <x:c r="R28" t="str">
        <x:f>IF(B28="","",IF(OR(C28&lt;0,E28&lt;1,D28&lt;0,F28&lt;0,D28&gt;C28,F28&gt;E28),"INTERDIT - slots dépassés","OK"))</x:f>
      </x:c>
    </x:row>
    <x:row r="29" ht="27" customHeight="1">
      <x:c r="B29" s="64"/>
      <x:c r="C29" s="64"/>
      <x:c r="D29" s="64"/>
      <x:c r="E29" s="64"/>
      <x:c r="F29" s="64"/>
      <x:c r="G29" t="str">
        <x:f>IF(OR(B29="",R29&lt;&gt;"OK"),"",C29*(C29+1)/2+D29)</x:f>
      </x:c>
      <x:c r="H29" t="str">
        <x:f>IF(OR(B29="",R29&lt;&gt;"OK"),"",E29*(E29+1)/2+F29)</x:f>
      </x:c>
      <x:c r="I29" s="68" t="str">
        <x:f>IF(OR(B29="",R29&lt;&gt;"OK"),"",'02 - Barème'!$B$3*G29^2*IF(B29="Arme",1,IF(B29="Armure/bouclier",'02 - Barème'!$B$4,'02 - Barème'!$B$5)))</x:f>
      </x:c>
      <x:c r="J29" s="68" t="str">
        <x:f>IF(OR(B29="",R29&lt;&gt;"OK"),"",'02 - Barème'!$B$3*H29^2*IF(B29="Arme",1,IF(B29="Armure/bouclier",'02 - Barème'!$B$4,'02 - Barème'!$B$5)))</x:f>
      </x:c>
      <x:c r="K29" s="68" t="str">
        <x:f>IF(OR(B29="",R29&lt;&gt;"OK"),"",MAX(0,J29-I29))</x:f>
      </x:c>
      <x:c r="L29" s="74" t="n">
        <x:v>0</x:v>
      </x:c>
      <x:c r="M29" s="68" t="str">
        <x:f>IF(OR(B29="",R29&lt;&gt;"OK"),"",ROUND(MAX(0,MIN(K29,K29*(1+L29))),0))</x:f>
      </x:c>
      <x:c r="N29" s="70"/>
      <x:c r="O29" s="68" t="str">
        <x:f>IF(OR(B29="",R29&lt;&gt;"OK",N29=""),"",M29-N29)</x:f>
      </x:c>
      <x:c r="Q29" s="76"/>
      <x:c r="R29" t="str">
        <x:f>IF(B29="","",IF(OR(C29&lt;0,E29&lt;1,D29&lt;0,F29&lt;0,D29&gt;C29,F29&gt;E29),"INTERDIT - slots dépassés","OK"))</x:f>
      </x:c>
    </x:row>
    <x:row r="30" ht="27" customHeight="1">
      <x:c r="B30" s="64"/>
      <x:c r="C30" s="64"/>
      <x:c r="D30" s="64"/>
      <x:c r="E30" s="64"/>
      <x:c r="F30" s="64"/>
      <x:c r="G30" t="str">
        <x:f>IF(OR(B30="",R30&lt;&gt;"OK"),"",C30*(C30+1)/2+D30)</x:f>
      </x:c>
      <x:c r="H30" t="str">
        <x:f>IF(OR(B30="",R30&lt;&gt;"OK"),"",E30*(E30+1)/2+F30)</x:f>
      </x:c>
      <x:c r="I30" s="68" t="str">
        <x:f>IF(OR(B30="",R30&lt;&gt;"OK"),"",'02 - Barème'!$B$3*G30^2*IF(B30="Arme",1,IF(B30="Armure/bouclier",'02 - Barème'!$B$4,'02 - Barème'!$B$5)))</x:f>
      </x:c>
      <x:c r="J30" s="68" t="str">
        <x:f>IF(OR(B30="",R30&lt;&gt;"OK"),"",'02 - Barème'!$B$3*H30^2*IF(B30="Arme",1,IF(B30="Armure/bouclier",'02 - Barème'!$B$4,'02 - Barème'!$B$5)))</x:f>
      </x:c>
      <x:c r="K30" s="68" t="str">
        <x:f>IF(OR(B30="",R30&lt;&gt;"OK"),"",MAX(0,J30-I30))</x:f>
      </x:c>
      <x:c r="L30" s="74" t="n">
        <x:v>0</x:v>
      </x:c>
      <x:c r="M30" s="68" t="str">
        <x:f>IF(OR(B30="",R30&lt;&gt;"OK"),"",ROUND(MAX(0,MIN(K30,K30*(1+L30))),0))</x:f>
      </x:c>
      <x:c r="N30" s="70"/>
      <x:c r="O30" s="68" t="str">
        <x:f>IF(OR(B30="",R30&lt;&gt;"OK",N30=""),"",M30-N30)</x:f>
      </x:c>
      <x:c r="Q30" s="76"/>
      <x:c r="R30" t="str">
        <x:f>IF(B30="","",IF(OR(C30&lt;0,E30&lt;1,D30&lt;0,F30&lt;0,D30&gt;C30,F30&gt;E30),"INTERDIT - slots dépassés","OK"))</x:f>
      </x:c>
    </x:row>
    <x:row r="31" ht="27" customHeight="1">
      <x:c r="B31" s="64"/>
      <x:c r="C31" s="64"/>
      <x:c r="D31" s="64"/>
      <x:c r="E31" s="64"/>
      <x:c r="F31" s="64"/>
      <x:c r="G31" t="str">
        <x:f>IF(OR(B31="",R31&lt;&gt;"OK"),"",C31*(C31+1)/2+D31)</x:f>
      </x:c>
      <x:c r="H31" t="str">
        <x:f>IF(OR(B31="",R31&lt;&gt;"OK"),"",E31*(E31+1)/2+F31)</x:f>
      </x:c>
      <x:c r="I31" s="68" t="str">
        <x:f>IF(OR(B31="",R31&lt;&gt;"OK"),"",'02 - Barème'!$B$3*G31^2*IF(B31="Arme",1,IF(B31="Armure/bouclier",'02 - Barème'!$B$4,'02 - Barème'!$B$5)))</x:f>
      </x:c>
      <x:c r="J31" s="68" t="str">
        <x:f>IF(OR(B31="",R31&lt;&gt;"OK"),"",'02 - Barème'!$B$3*H31^2*IF(B31="Arme",1,IF(B31="Armure/bouclier",'02 - Barème'!$B$4,'02 - Barème'!$B$5)))</x:f>
      </x:c>
      <x:c r="K31" s="68" t="str">
        <x:f>IF(OR(B31="",R31&lt;&gt;"OK"),"",MAX(0,J31-I31))</x:f>
      </x:c>
      <x:c r="L31" s="74" t="n">
        <x:v>0</x:v>
      </x:c>
      <x:c r="M31" s="68" t="str">
        <x:f>IF(OR(B31="",R31&lt;&gt;"OK"),"",ROUND(MAX(0,MIN(K31,K31*(1+L31))),0))</x:f>
      </x:c>
      <x:c r="N31" s="70"/>
      <x:c r="O31" s="68" t="str">
        <x:f>IF(OR(B31="",R31&lt;&gt;"OK",N31=""),"",M31-N31)</x:f>
      </x:c>
      <x:c r="Q31" s="76"/>
      <x:c r="R31" t="str">
        <x:f>IF(B31="","",IF(OR(C31&lt;0,E31&lt;1,D31&lt;0,F31&lt;0,D31&gt;C31,F31&gt;E31),"INTERDIT - slots dépassés","OK"))</x:f>
      </x:c>
    </x:row>
    <x:row r="32" ht="27" customHeight="1">
      <x:c r="B32" s="64"/>
      <x:c r="C32" s="64"/>
      <x:c r="D32" s="64"/>
      <x:c r="E32" s="64"/>
      <x:c r="F32" s="64"/>
      <x:c r="G32" t="str">
        <x:f>IF(OR(B32="",R32&lt;&gt;"OK"),"",C32*(C32+1)/2+D32)</x:f>
      </x:c>
      <x:c r="H32" t="str">
        <x:f>IF(OR(B32="",R32&lt;&gt;"OK"),"",E32*(E32+1)/2+F32)</x:f>
      </x:c>
      <x:c r="I32" s="68" t="str">
        <x:f>IF(OR(B32="",R32&lt;&gt;"OK"),"",'02 - Barème'!$B$3*G32^2*IF(B32="Arme",1,IF(B32="Armure/bouclier",'02 - Barème'!$B$4,'02 - Barème'!$B$5)))</x:f>
      </x:c>
      <x:c r="J32" s="68" t="str">
        <x:f>IF(OR(B32="",R32&lt;&gt;"OK"),"",'02 - Barème'!$B$3*H32^2*IF(B32="Arme",1,IF(B32="Armure/bouclier",'02 - Barème'!$B$4,'02 - Barème'!$B$5)))</x:f>
      </x:c>
      <x:c r="K32" s="68" t="str">
        <x:f>IF(OR(B32="",R32&lt;&gt;"OK"),"",MAX(0,J32-I32))</x:f>
      </x:c>
      <x:c r="L32" s="74" t="n">
        <x:v>0</x:v>
      </x:c>
      <x:c r="M32" s="68" t="str">
        <x:f>IF(OR(B32="",R32&lt;&gt;"OK"),"",ROUND(MAX(0,MIN(K32,K32*(1+L32))),0))</x:f>
      </x:c>
      <x:c r="N32" s="70"/>
      <x:c r="O32" s="68" t="str">
        <x:f>IF(OR(B32="",R32&lt;&gt;"OK",N32=""),"",M32-N32)</x:f>
      </x:c>
      <x:c r="Q32" s="76"/>
      <x:c r="R32" t="str">
        <x:f>IF(B32="","",IF(OR(C32&lt;0,E32&lt;1,D32&lt;0,F32&lt;0,D32&gt;C32,F32&gt;E32),"INTERDIT - slots dépassés","OK"))</x:f>
      </x:c>
    </x:row>
    <x:row r="33" ht="27" customHeight="1">
      <x:c r="B33" s="64"/>
      <x:c r="C33" s="64"/>
      <x:c r="D33" s="64"/>
      <x:c r="E33" s="64"/>
      <x:c r="F33" s="64"/>
      <x:c r="G33" t="str">
        <x:f>IF(OR(B33="",R33&lt;&gt;"OK"),"",C33*(C33+1)/2+D33)</x:f>
      </x:c>
      <x:c r="H33" t="str">
        <x:f>IF(OR(B33="",R33&lt;&gt;"OK"),"",E33*(E33+1)/2+F33)</x:f>
      </x:c>
      <x:c r="I33" s="68" t="str">
        <x:f>IF(OR(B33="",R33&lt;&gt;"OK"),"",'02 - Barème'!$B$3*G33^2*IF(B33="Arme",1,IF(B33="Armure/bouclier",'02 - Barème'!$B$4,'02 - Barème'!$B$5)))</x:f>
      </x:c>
      <x:c r="J33" s="68" t="str">
        <x:f>IF(OR(B33="",R33&lt;&gt;"OK"),"",'02 - Barème'!$B$3*H33^2*IF(B33="Arme",1,IF(B33="Armure/bouclier",'02 - Barème'!$B$4,'02 - Barème'!$B$5)))</x:f>
      </x:c>
      <x:c r="K33" s="68" t="str">
        <x:f>IF(OR(B33="",R33&lt;&gt;"OK"),"",MAX(0,J33-I33))</x:f>
      </x:c>
      <x:c r="L33" s="74" t="n">
        <x:v>0</x:v>
      </x:c>
      <x:c r="M33" s="68" t="str">
        <x:f>IF(OR(B33="",R33&lt;&gt;"OK"),"",ROUND(MAX(0,MIN(K33,K33*(1+L33))),0))</x:f>
      </x:c>
      <x:c r="N33" s="70"/>
      <x:c r="O33" s="68" t="str">
        <x:f>IF(OR(B33="",R33&lt;&gt;"OK",N33=""),"",M33-N33)</x:f>
      </x:c>
      <x:c r="Q33" s="76"/>
      <x:c r="R33" t="str">
        <x:f>IF(B33="","",IF(OR(C33&lt;0,E33&lt;1,D33&lt;0,F33&lt;0,D33&gt;C33,F33&gt;E33),"INTERDIT - slots dépassés","OK"))</x:f>
      </x:c>
    </x:row>
    <x:row r="34" ht="27" customHeight="1">
      <x:c r="B34" s="64"/>
      <x:c r="C34" s="64"/>
      <x:c r="D34" s="64"/>
      <x:c r="E34" s="64"/>
      <x:c r="F34" s="64"/>
      <x:c r="G34" t="str">
        <x:f>IF(OR(B34="",R34&lt;&gt;"OK"),"",C34*(C34+1)/2+D34)</x:f>
      </x:c>
      <x:c r="H34" t="str">
        <x:f>IF(OR(B34="",R34&lt;&gt;"OK"),"",E34*(E34+1)/2+F34)</x:f>
      </x:c>
      <x:c r="I34" s="68" t="str">
        <x:f>IF(OR(B34="",R34&lt;&gt;"OK"),"",'02 - Barème'!$B$3*G34^2*IF(B34="Arme",1,IF(B34="Armure/bouclier",'02 - Barème'!$B$4,'02 - Barème'!$B$5)))</x:f>
      </x:c>
      <x:c r="J34" s="68" t="str">
        <x:f>IF(OR(B34="",R34&lt;&gt;"OK"),"",'02 - Barème'!$B$3*H34^2*IF(B34="Arme",1,IF(B34="Armure/bouclier",'02 - Barème'!$B$4,'02 - Barème'!$B$5)))</x:f>
      </x:c>
      <x:c r="K34" s="68" t="str">
        <x:f>IF(OR(B34="",R34&lt;&gt;"OK"),"",MAX(0,J34-I34))</x:f>
      </x:c>
      <x:c r="L34" s="74" t="n">
        <x:v>0</x:v>
      </x:c>
      <x:c r="M34" s="68" t="str">
        <x:f>IF(OR(B34="",R34&lt;&gt;"OK"),"",ROUND(MAX(0,MIN(K34,K34*(1+L34))),0))</x:f>
      </x:c>
      <x:c r="N34" s="70"/>
      <x:c r="O34" s="68" t="str">
        <x:f>IF(OR(B34="",R34&lt;&gt;"OK",N34=""),"",M34-N34)</x:f>
      </x:c>
      <x:c r="Q34" s="76"/>
      <x:c r="R34" t="str">
        <x:f>IF(B34="","",IF(OR(C34&lt;0,E34&lt;1,D34&lt;0,F34&lt;0,D34&gt;C34,F34&gt;E34),"INTERDIT - slots dépassés","OK"))</x:f>
      </x:c>
    </x:row>
    <x:row r="35" ht="27" customHeight="1">
      <x:c r="B35" s="64"/>
      <x:c r="C35" s="64"/>
      <x:c r="D35" s="64"/>
      <x:c r="E35" s="64"/>
      <x:c r="F35" s="64"/>
      <x:c r="G35" t="str">
        <x:f>IF(OR(B35="",R35&lt;&gt;"OK"),"",C35*(C35+1)/2+D35)</x:f>
      </x:c>
      <x:c r="H35" t="str">
        <x:f>IF(OR(B35="",R35&lt;&gt;"OK"),"",E35*(E35+1)/2+F35)</x:f>
      </x:c>
      <x:c r="I35" s="68" t="str">
        <x:f>IF(OR(B35="",R35&lt;&gt;"OK"),"",'02 - Barème'!$B$3*G35^2*IF(B35="Arme",1,IF(B35="Armure/bouclier",'02 - Barème'!$B$4,'02 - Barème'!$B$5)))</x:f>
      </x:c>
      <x:c r="J35" s="68" t="str">
        <x:f>IF(OR(B35="",R35&lt;&gt;"OK"),"",'02 - Barème'!$B$3*H35^2*IF(B35="Arme",1,IF(B35="Armure/bouclier",'02 - Barème'!$B$4,'02 - Barème'!$B$5)))</x:f>
      </x:c>
      <x:c r="K35" s="68" t="str">
        <x:f>IF(OR(B35="",R35&lt;&gt;"OK"),"",MAX(0,J35-I35))</x:f>
      </x:c>
      <x:c r="L35" s="74" t="n">
        <x:v>0</x:v>
      </x:c>
      <x:c r="M35" s="68" t="str">
        <x:f>IF(OR(B35="",R35&lt;&gt;"OK"),"",ROUND(MAX(0,MIN(K35,K35*(1+L35))),0))</x:f>
      </x:c>
      <x:c r="N35" s="70"/>
      <x:c r="O35" s="68" t="str">
        <x:f>IF(OR(B35="",R35&lt;&gt;"OK",N35=""),"",M35-N35)</x:f>
      </x:c>
      <x:c r="Q35" s="76"/>
      <x:c r="R35" t="str">
        <x:f>IF(B35="","",IF(OR(C35&lt;0,E35&lt;1,D35&lt;0,F35&lt;0,D35&gt;C35,F35&gt;E35),"INTERDIT - slots dépassés","OK"))</x:f>
      </x:c>
    </x:row>
    <x:row r="36" ht="27" customHeight="1">
      <x:c r="B36" s="64"/>
      <x:c r="C36" s="64"/>
      <x:c r="D36" s="64"/>
      <x:c r="E36" s="64"/>
      <x:c r="F36" s="64"/>
      <x:c r="G36" t="str">
        <x:f>IF(OR(B36="",R36&lt;&gt;"OK"),"",C36*(C36+1)/2+D36)</x:f>
      </x:c>
      <x:c r="H36" t="str">
        <x:f>IF(OR(B36="",R36&lt;&gt;"OK"),"",E36*(E36+1)/2+F36)</x:f>
      </x:c>
      <x:c r="I36" s="68" t="str">
        <x:f>IF(OR(B36="",R36&lt;&gt;"OK"),"",'02 - Barème'!$B$3*G36^2*IF(B36="Arme",1,IF(B36="Armure/bouclier",'02 - Barème'!$B$4,'02 - Barème'!$B$5)))</x:f>
      </x:c>
      <x:c r="J36" s="68" t="str">
        <x:f>IF(OR(B36="",R36&lt;&gt;"OK"),"",'02 - Barème'!$B$3*H36^2*IF(B36="Arme",1,IF(B36="Armure/bouclier",'02 - Barème'!$B$4,'02 - Barème'!$B$5)))</x:f>
      </x:c>
      <x:c r="K36" s="68" t="str">
        <x:f>IF(OR(B36="",R36&lt;&gt;"OK"),"",MAX(0,J36-I36))</x:f>
      </x:c>
      <x:c r="L36" s="74" t="n">
        <x:v>0</x:v>
      </x:c>
      <x:c r="M36" s="68" t="str">
        <x:f>IF(OR(B36="",R36&lt;&gt;"OK"),"",ROUND(MAX(0,MIN(K36,K36*(1+L36))),0))</x:f>
      </x:c>
      <x:c r="N36" s="70"/>
      <x:c r="O36" s="68" t="str">
        <x:f>IF(OR(B36="",R36&lt;&gt;"OK",N36=""),"",M36-N36)</x:f>
      </x:c>
      <x:c r="Q36" s="76"/>
      <x:c r="R36" t="str">
        <x:f>IF(B36="","",IF(OR(C36&lt;0,E36&lt;1,D36&lt;0,F36&lt;0,D36&gt;C36,F36&gt;E36),"INTERDIT - slots dépassés","OK"))</x:f>
      </x:c>
    </x:row>
  </x:sheetData>
  <x:mergeCells>
    <x:mergeCell ref="A1:Q1"/>
    <x:mergeCell ref="A2:Q2"/>
  </x:mergeCells>
  <x:conditionalFormatting sqref="O7:O36">
    <x:cfRule type="cellIs" dxfId="0" priority="1" operator="greaterThan">
      <x:formula>0</x:formula>
    </x:cfRule>
  </x:conditionalFormatting>
  <x:conditionalFormatting sqref="R7:R36">
    <x:cfRule type="expression" dxfId="2" priority="2">
      <x:formula>LEFT(R7,7)="INTERDI"</x:formula>
    </x:cfRule>
    <x:cfRule type="expression" dxfId="3" priority="3">
      <x:formula>R7="OK"</x:formula>
    </x:cfRule>
  </x:conditionalFormatting>
  <x:conditionalFormatting sqref="F7:F36">
    <x:cfRule type="expression" dxfId="4" priority="4">
      <x:formula>AND($B7&lt;&gt;"",$F7&gt;$E7)</x:formula>
    </x:cfRule>
  </x:conditionalFormatting>
  <x:conditionalFormatting sqref="D7:D36">
    <x:cfRule type="expression" dxfId="5" priority="5">
      <x:formula>AND($B7&lt;&gt;"",$D7&gt;$C7)</x:formula>
    </x:cfRule>
  </x:conditionalFormatting>
  <x:dataValidations count="2">
    <x:dataValidation type="list" sqref="B7:B36">
      <x:formula1>"Arme,Armure/bouclier,Autre objet"</x:formula1>
    </x:dataValidation>
    <x:dataValidation type="list" sqref="P7:P36">
      <x:formula1>"Simulation,Conforme,Historique,À arbitrer,Confirmé,Refusé"</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48" hidden="0" customWidth="1"/>
    <x:col min="3" max="3" width="19" hidden="0" customWidth="1"/>
    <x:col min="4" max="4" width="12" hidden="0" customWidth="1"/>
    <x:col min="5" max="5" width="21" hidden="0" customWidth="1"/>
    <x:col min="6" max="6" width="27" hidden="0" customWidth="1"/>
    <x:col min="7" max="7" width="22" hidden="0" customWidth="1"/>
    <x:col min="8" max="8" width="19" hidden="0" customWidth="1"/>
    <x:col min="9" max="9" width="26" hidden="0" customWidth="1"/>
    <x:col min="10" max="10" width="38" hidden="0" customWidth="1"/>
    <x:col min="11" max="11" width="63" hidden="0" customWidth="1"/>
    <x:col min="12" max="12" width="23" hidden="0" customWidth="1"/>
    <x:col min="13" max="13" width="24" hidden="0" customWidth="1"/>
    <x:col min="14" max="14" width="15" hidden="0" customWidth="1"/>
    <x:col min="15" max="15" width="15" hidden="0" customWidth="1"/>
    <x:col min="16" max="16" width="20" hidden="0" customWidth="1"/>
    <x:col min="17" max="17" width="16" hidden="0" customWidth="1"/>
    <x:col min="18" max="18" width="20" hidden="0" customWidth="1"/>
    <x:col min="19" max="19" width="25" hidden="0" customWidth="1"/>
    <x:col min="20" max="20" width="26" hidden="0" customWidth="1"/>
  </x:cols>
  <x:sheetData>
    <x:row r="1" ht="36" customHeight="1">
      <x:c r="A1" s="4" t="str">
        <x:v>CATALOGUE — demandes &amp; achats envisagés</x:v>
      </x:c>
      <x:c r="B1" s="4"/>
      <x:c r="C1" s="4"/>
      <x:c r="D1" s="4"/>
      <x:c r="E1" s="4"/>
      <x:c r="F1" s="4"/>
      <x:c r="G1" s="4"/>
      <x:c r="H1" s="4"/>
      <x:c r="I1" s="4"/>
      <x:c r="J1" s="4"/>
      <x:c r="K1" s="4"/>
      <x:c r="L1" s="4"/>
    </x:row>
    <x:row r="2" ht="27" customHeight="1">
      <x:c r="A2" s="11" t="str">
        <x:v>Chaque ligne correspond à une proposition issue du fichier source ; « retenu » n’implique pas « acheté » ou payé.</x:v>
      </x:c>
      <x:c r="B2" s="11"/>
      <x:c r="C2" s="11"/>
      <x:c r="D2" s="11"/>
      <x:c r="E2" s="11"/>
      <x:c r="F2" s="11"/>
      <x:c r="G2" s="11"/>
      <x:c r="H2" s="11"/>
      <x:c r="I2" s="11"/>
      <x:c r="J2" s="11"/>
      <x:c r="K2" s="11"/>
      <x:c r="L2" s="11"/>
    </x:row>
    <x:row r="5" ht="34" customHeight="1">
      <x:c r="A5" s="19" t="str">
        <x:v>Joueur</x:v>
      </x:c>
      <x:c r="B5" s="19" t="str">
        <x:v>Objet / amélioration</x:v>
      </x:c>
      <x:c r="C5" s="19" t="str">
        <x:v>Nature</x:v>
      </x:c>
      <x:c r="D5" s="19" t="str">
        <x:v>Priorité</x:v>
      </x:c>
      <x:c r="E5" s="19" t="str">
        <x:v>Rareté</x:v>
      </x:c>
      <x:c r="F5" s="19" t="str">
        <x:v>Source / édition</x:v>
      </x:c>
      <x:c r="G5" s="19" t="str">
        <x:v>Prix référence (po)</x:v>
      </x:c>
      <x:c r="H5" s="19" t="str">
        <x:v>Devis MJ (po)</x:v>
      </x:c>
      <x:c r="I5" s="19" t="str">
        <x:v>État source</x:v>
      </x:c>
      <x:c r="J5" s="19" t="str">
        <x:v>Lien</x:v>
      </x:c>
      <x:c r="K5" s="19" t="str">
        <x:v>Notes source</x:v>
      </x:c>
      <x:c r="L5" s="19" t="str">
        <x:v>Provenance</x:v>
      </x:c>
      <x:c r="M5" s="186" t="str">
        <x:v>Catégorie tarif</x:v>
      </x:c>
      <x:c r="N5" s="186" t="str">
        <x:v>N cible (MJ)</x:v>
      </x:c>
      <x:c r="O5" s="186" t="str">
        <x:v>N ancien</x:v>
      </x:c>
      <x:c r="P5" s="186" t="str">
        <x:v>Prix plafond (po)</x:v>
      </x:c>
      <x:c r="Q5" s="186" t="str">
        <x:v>d20 marché</x:v>
      </x:c>
      <x:c r="R5" s="186" t="str">
        <x:v>À payer (po)</x:v>
      </x:c>
      <x:c r="S5" s="186" t="str">
        <x:v>Matériau / incident</x:v>
      </x:c>
      <x:c r="T5" s="186" t="str">
        <x:v>Contrôle tarif</x:v>
      </x:c>
    </x:row>
    <x:row r="6" ht="26" customHeight="1">
      <x:c r="A6" t="str">
        <x:v>Thibault</x:v>
      </x:c>
      <x:c r="B6" s="78" t="str">
        <x:v>bourse de l'opossum</x:v>
      </x:c>
      <x:c r="C6" t="str">
        <x:v>Achat</x:v>
      </x:c>
      <x:c r="D6"/>
      <x:c r="E6"/>
      <x:c r="F6" t="str">
        <x:v>gemmaline</x:v>
      </x:c>
      <x:c r="G6" s="60"/>
      <x:c r="H6" s="80"/>
      <x:c r="I6" t="str">
        <x:v>oui</x:v>
      </x:c>
      <x:c r="J6"/>
      <x:c r="K6" s="76" t="str">
        <x:v>Lien ? non?</x:v>
      </x:c>
      <x:c r="L6" t="str">
        <x:v>Thibault!A2:F2</x:v>
      </x:c>
      <x:c r="M6" s="187"/>
      <x:c r="N6" s="187"/>
      <x:c r="O6" s="187"/>
      <x:c r="P6" s="191" t="str">
        <x:f>IF(OR(M6="",N6="",AND(ISNUMBER(O6),O6&gt;=N6)),"",ROUND('02 - Barème'!$B$3*(N6^2-IF(O6="",0,O6)^2)*IF(M6="Arme",1,IF(M6="Armure/bouclier",'02 - Barème'!$B$4,'02 - Barème'!$B$5)),0))</x:f>
      </x:c>
      <x:c r="Q6" s="187"/>
      <x:c r="R6" s="192" t="str">
        <x:f>IF(OR(P6="",T6&lt;&gt;"OK"),"",ROUND(P6*MIN(1,('09 - Plafonds et aleas'!$B$9+'09 - Plafonds et aleas'!$B$10*Q6)/100),0))</x:f>
      </x:c>
      <x:c r="S6" t="str">
        <x:f>IF(T6&lt;&gt;"OK","",IF(('09 - Plafonds et aleas'!$B$9+'09 - Plafonds et aleas'!$B$10*Q6)&lt;=100,"Aucun",IF(Q6&lt;=17,"Matériau / service",IF(Q6&lt;=19,"Incident à résoudre","Quête majeure"))))</x:f>
      </x:c>
      <x:c r="T6" t="str">
        <x:f>IF(AND(M6="",N6="",Q6=""),"",IF(OR(M6="",N6=""),"N ET CATÉGORIE REQUIS",IF(OR(N6&lt;=0,AND(ISNUMBER(O6),O6&gt;=N6)),"NIVEAU INVALIDE",IF(OR(Q6="",Q6&lt;1,Q6&gt;20),"JET REQUIS / INVALIDE","OK"))))</x:f>
      </x:c>
    </x:row>
    <x:row r="7" ht="26" customHeight="1">
      <x:c r="A7" t="str">
        <x:v>Thibault</x:v>
      </x:c>
      <x:c r="B7" s="78" t="str">
        <x:v>cape de l'assassin</x:v>
      </x:c>
      <x:c r="C7" t="str">
        <x:v>Achat</x:v>
      </x:c>
      <x:c r="D7"/>
      <x:c r="E7"/>
      <x:c r="F7" t="str">
        <x:v>gemmaline</x:v>
      </x:c>
      <x:c r="G7" s="60"/>
      <x:c r="H7" s="80"/>
      <x:c r="I7" t="str">
        <x:v>Non précisé</x:v>
      </x:c>
      <x:c r="J7"/>
      <x:c r="K7" s="76" t="str">
        <x:v>Lien ? oui?</x:v>
      </x:c>
      <x:c r="L7" t="str">
        <x:v>Thibault!A3:F3</x:v>
      </x:c>
      <x:c r="M7" s="187"/>
      <x:c r="N7" s="187"/>
      <x:c r="O7" s="187"/>
      <x:c r="P7" s="191" t="str">
        <x:f>IF(OR(M7="",N7="",AND(ISNUMBER(O7),O7&gt;=N7)),"",ROUND('02 - Barème'!$B$3*(N7^2-IF(O7="",0,O7)^2)*IF(M7="Arme",1,IF(M7="Armure/bouclier",'02 - Barème'!$B$4,'02 - Barème'!$B$5)),0))</x:f>
      </x:c>
      <x:c r="Q7" s="187"/>
      <x:c r="R7" s="192" t="str">
        <x:f>IF(OR(P7="",T7&lt;&gt;"OK"),"",ROUND(P7*MIN(1,('09 - Plafonds et aleas'!$B$9+'09 - Plafonds et aleas'!$B$10*Q7)/100),0))</x:f>
      </x:c>
      <x:c r="S7" t="str">
        <x:f>IF(T7&lt;&gt;"OK","",IF(('09 - Plafonds et aleas'!$B$9+'09 - Plafonds et aleas'!$B$10*Q7)&lt;=100,"Aucun",IF(Q7&lt;=17,"Matériau / service",IF(Q7&lt;=19,"Incident à résoudre","Quête majeure"))))</x:f>
      </x:c>
      <x:c r="T7" t="str">
        <x:f>IF(AND(M7="",N7="",Q7=""),"",IF(OR(M7="",N7=""),"N ET CATÉGORIE REQUIS",IF(OR(N7&lt;=0,AND(ISNUMBER(O7),O7&gt;=N7)),"NIVEAU INVALIDE",IF(OR(Q7="",Q7&lt;1,Q7&gt;20),"JET REQUIS / INVALIDE","OK"))))</x:f>
      </x:c>
    </x:row>
    <x:row r="8" ht="26" customHeight="1">
      <x:c r="A8" t="str">
        <x:v>Thibault</x:v>
      </x:c>
      <x:c r="B8" s="78" t="str">
        <x:v>gant de cambrioleur</x:v>
      </x:c>
      <x:c r="C8" t="str">
        <x:v>Achat</x:v>
      </x:c>
      <x:c r="D8"/>
      <x:c r="E8"/>
      <x:c r="F8" t="str">
        <x:v>aidedd</x:v>
      </x:c>
      <x:c r="G8" s="60"/>
      <x:c r="H8" s="80"/>
      <x:c r="I8" t="str">
        <x:v>oui</x:v>
      </x:c>
      <x:c r="J8"/>
      <x:c r="K8" s="76" t="str">
        <x:v>Lien ? non</x:v>
      </x:c>
      <x:c r="L8" t="str">
        <x:v>Thibault!A4:F4</x:v>
      </x:c>
      <x:c r="M8" s="187"/>
      <x:c r="N8" s="187"/>
      <x:c r="O8" s="187"/>
      <x:c r="P8" s="191" t="str">
        <x:f>IF(OR(M8="",N8="",AND(ISNUMBER(O8),O8&gt;=N8)),"",ROUND('02 - Barème'!$B$3*(N8^2-IF(O8="",0,O8)^2)*IF(M8="Arme",1,IF(M8="Armure/bouclier",'02 - Barème'!$B$4,'02 - Barème'!$B$5)),0))</x:f>
      </x:c>
      <x:c r="Q8" s="187"/>
      <x:c r="R8" s="192" t="str">
        <x:f>IF(OR(P8="",T8&lt;&gt;"OK"),"",ROUND(P8*MIN(1,('09 - Plafonds et aleas'!$B$9+'09 - Plafonds et aleas'!$B$10*Q8)/100),0))</x:f>
      </x:c>
      <x:c r="S8" t="str">
        <x:f>IF(T8&lt;&gt;"OK","",IF(('09 - Plafonds et aleas'!$B$9+'09 - Plafonds et aleas'!$B$10*Q8)&lt;=100,"Aucun",IF(Q8&lt;=17,"Matériau / service",IF(Q8&lt;=19,"Incident à résoudre","Quête majeure"))))</x:f>
      </x:c>
      <x:c r="T8" t="str">
        <x:f>IF(AND(M8="",N8="",Q8=""),"",IF(OR(M8="",N8=""),"N ET CATÉGORIE REQUIS",IF(OR(N8&lt;=0,AND(ISNUMBER(O8),O8&gt;=N8)),"NIVEAU INVALIDE",IF(OR(Q8="",Q8&lt;1,Q8&gt;20),"JET REQUIS / INVALIDE","OK"))))</x:f>
      </x:c>
    </x:row>
    <x:row r="9" ht="26" customHeight="1">
      <x:c r="A9" t="str">
        <x:v>Thibault</x:v>
      </x:c>
      <x:c r="B9" s="78" t="str">
        <x:v>clef squelette</x:v>
      </x:c>
      <x:c r="C9" t="str">
        <x:v>Achat</x:v>
      </x:c>
      <x:c r="D9"/>
      <x:c r="E9"/>
      <x:c r="F9" t="str">
        <x:v>gemmaline</x:v>
      </x:c>
      <x:c r="G9" s="60"/>
      <x:c r="H9" s="80"/>
      <x:c r="I9" t="str">
        <x:v>nope</x:v>
      </x:c>
      <x:c r="J9"/>
      <x:c r="K9" s="76" t="str">
        <x:v>Lien ? non?</x:v>
      </x:c>
      <x:c r="L9" t="str">
        <x:v>Thibault!A5:F5</x:v>
      </x:c>
      <x:c r="M9" s="187"/>
      <x:c r="N9" s="187"/>
      <x:c r="O9" s="187"/>
      <x:c r="P9" s="191" t="str">
        <x:f>IF(OR(M9="",N9="",AND(ISNUMBER(O9),O9&gt;=N9)),"",ROUND('02 - Barème'!$B$3*(N9^2-IF(O9="",0,O9)^2)*IF(M9="Arme",1,IF(M9="Armure/bouclier",'02 - Barème'!$B$4,'02 - Barème'!$B$5)),0))</x:f>
      </x:c>
      <x:c r="Q9" s="187"/>
      <x:c r="R9" s="192" t="str">
        <x:f>IF(OR(P9="",T9&lt;&gt;"OK"),"",ROUND(P9*MIN(1,('09 - Plafonds et aleas'!$B$9+'09 - Plafonds et aleas'!$B$10*Q9)/100),0))</x:f>
      </x:c>
      <x:c r="S9" t="str">
        <x:f>IF(T9&lt;&gt;"OK","",IF(('09 - Plafonds et aleas'!$B$9+'09 - Plafonds et aleas'!$B$10*Q9)&lt;=100,"Aucun",IF(Q9&lt;=17,"Matériau / service",IF(Q9&lt;=19,"Incident à résoudre","Quête majeure"))))</x:f>
      </x:c>
      <x:c r="T9" t="str">
        <x:f>IF(AND(M9="",N9="",Q9=""),"",IF(OR(M9="",N9=""),"N ET CATÉGORIE REQUIS",IF(OR(N9&lt;=0,AND(ISNUMBER(O9),O9&gt;=N9)),"NIVEAU INVALIDE",IF(OR(Q9="",Q9&lt;1,Q9&gt;20),"JET REQUIS / INVALIDE","OK"))))</x:f>
      </x:c>
    </x:row>
    <x:row r="10" ht="26" customHeight="1">
      <x:c r="A10" t="str">
        <x:v>Thibault</x:v>
      </x:c>
      <x:c r="B10" s="78" t="str">
        <x:v>gant de dextérité</x:v>
      </x:c>
      <x:c r="C10" t="str">
        <x:v>Achat</x:v>
      </x:c>
      <x:c r="D10"/>
      <x:c r="E10"/>
      <x:c r="F10" t="str">
        <x:v>gemmaline</x:v>
      </x:c>
      <x:c r="G10" s="60"/>
      <x:c r="H10" s="80"/>
      <x:c r="I10" t="str">
        <x:v>non</x:v>
      </x:c>
      <x:c r="J10"/>
      <x:c r="K10" s="76" t="str">
        <x:v>Lien ? oui?</x:v>
      </x:c>
      <x:c r="L10" t="str">
        <x:v>Thibault!A6:F6</x:v>
      </x:c>
      <x:c r="M10" s="187"/>
      <x:c r="N10" s="187"/>
      <x:c r="O10" s="187"/>
      <x:c r="P10" s="191" t="str">
        <x:f>IF(OR(M10="",N10="",AND(ISNUMBER(O10),O10&gt;=N10)),"",ROUND('02 - Barème'!$B$3*(N10^2-IF(O10="",0,O10)^2)*IF(M10="Arme",1,IF(M10="Armure/bouclier",'02 - Barème'!$B$4,'02 - Barème'!$B$5)),0))</x:f>
      </x:c>
      <x:c r="Q10" s="187"/>
      <x:c r="R10" s="192" t="str">
        <x:f>IF(OR(P10="",T10&lt;&gt;"OK"),"",ROUND(P10*MIN(1,('09 - Plafonds et aleas'!$B$9+'09 - Plafonds et aleas'!$B$10*Q10)/100),0))</x:f>
      </x:c>
      <x:c r="S10" t="str">
        <x:f>IF(T10&lt;&gt;"OK","",IF(('09 - Plafonds et aleas'!$B$9+'09 - Plafonds et aleas'!$B$10*Q10)&lt;=100,"Aucun",IF(Q10&lt;=17,"Matériau / service",IF(Q10&lt;=19,"Incident à résoudre","Quête majeure"))))</x:f>
      </x:c>
      <x:c r="T10" t="str">
        <x:f>IF(AND(M10="",N10="",Q10=""),"",IF(OR(M10="",N10=""),"N ET CATÉGORIE REQUIS",IF(OR(N10&lt;=0,AND(ISNUMBER(O10),O10&gt;=N10)),"NIVEAU INVALIDE",IF(OR(Q10="",Q10&lt;1,Q10&gt;20),"JET REQUIS / INVALIDE","OK"))))</x:f>
      </x:c>
    </x:row>
    <x:row r="11" ht="26" customHeight="1">
      <x:c r="A11" t="str">
        <x:v>Thibault</x:v>
      </x:c>
      <x:c r="B11" s="78" t="str">
        <x:v>armure de cuir cloutée +1 d'esquive</x:v>
      </x:c>
      <x:c r="C11" t="str">
        <x:v>Forge</x:v>
      </x:c>
      <x:c r="D11"/>
      <x:c r="E11"/>
      <x:c r="F11" t="str">
        <x:v>gemmaline</x:v>
      </x:c>
      <x:c r="G11" s="60"/>
      <x:c r="H11" s="80"/>
      <x:c r="I11" t="str">
        <x:v>non</x:v>
      </x:c>
      <x:c r="J11"/>
      <x:c r="K11" s="76" t="str">
        <x:v>Lien ? oui?</x:v>
      </x:c>
      <x:c r="L11" t="str">
        <x:v>Thibault!A7:F7</x:v>
      </x:c>
      <x:c r="M11" s="187"/>
      <x:c r="N11" s="187"/>
      <x:c r="O11" s="187"/>
      <x:c r="P11" s="191" t="str">
        <x:f>IF(OR(M11="",N11="",AND(ISNUMBER(O11),O11&gt;=N11)),"",ROUND('02 - Barème'!$B$3*(N11^2-IF(O11="",0,O11)^2)*IF(M11="Arme",1,IF(M11="Armure/bouclier",'02 - Barème'!$B$4,'02 - Barème'!$B$5)),0))</x:f>
      </x:c>
      <x:c r="Q11" s="187"/>
      <x:c r="R11" s="192" t="str">
        <x:f>IF(OR(P11="",T11&lt;&gt;"OK"),"",ROUND(P11*MIN(1,('09 - Plafonds et aleas'!$B$9+'09 - Plafonds et aleas'!$B$10*Q11)/100),0))</x:f>
      </x:c>
      <x:c r="S11" t="str">
        <x:f>IF(T11&lt;&gt;"OK","",IF(('09 - Plafonds et aleas'!$B$9+'09 - Plafonds et aleas'!$B$10*Q11)&lt;=100,"Aucun",IF(Q11&lt;=17,"Matériau / service",IF(Q11&lt;=19,"Incident à résoudre","Quête majeure"))))</x:f>
      </x:c>
      <x:c r="T11" t="str">
        <x:f>IF(AND(M11="",N11="",Q11=""),"",IF(OR(M11="",N11=""),"N ET CATÉGORIE REQUIS",IF(OR(N11&lt;=0,AND(ISNUMBER(O11),O11&gt;=N11)),"NIVEAU INVALIDE",IF(OR(Q11="",Q11&lt;1,Q11&gt;20),"JET REQUIS / INVALIDE","OK"))))</x:f>
      </x:c>
    </x:row>
    <x:row r="12" ht="26" customHeight="1">
      <x:c r="A12" t="str">
        <x:v>Thibault</x:v>
      </x:c>
      <x:c r="B12" s="78" t="str">
        <x:v>Amulette Antidote</x:v>
      </x:c>
      <x:c r="C12" t="str">
        <x:v>Achat</x:v>
      </x:c>
      <x:c r="D12"/>
      <x:c r="E12"/>
      <x:c r="F12" t="str">
        <x:v>aidedd</x:v>
      </x:c>
      <x:c r="G12" s="60"/>
      <x:c r="H12" s="80"/>
      <x:c r="I12" t="str">
        <x:v>Non précisé</x:v>
      </x:c>
      <x:c r="J12"/>
      <x:c r="K12" s="76" t="str">
        <x:v>Lien ? non</x:v>
      </x:c>
      <x:c r="L12" t="str">
        <x:v>Thibault!A8:F8</x:v>
      </x:c>
      <x:c r="M12" s="187"/>
      <x:c r="N12" s="187"/>
      <x:c r="O12" s="187"/>
      <x:c r="P12" s="191" t="str">
        <x:f>IF(OR(M12="",N12="",AND(ISNUMBER(O12),O12&gt;=N12)),"",ROUND('02 - Barème'!$B$3*(N12^2-IF(O12="",0,O12)^2)*IF(M12="Arme",1,IF(M12="Armure/bouclier",'02 - Barème'!$B$4,'02 - Barème'!$B$5)),0))</x:f>
      </x:c>
      <x:c r="Q12" s="187"/>
      <x:c r="R12" s="192" t="str">
        <x:f>IF(OR(P12="",T12&lt;&gt;"OK"),"",ROUND(P12*MIN(1,('09 - Plafonds et aleas'!$B$9+'09 - Plafonds et aleas'!$B$10*Q12)/100),0))</x:f>
      </x:c>
      <x:c r="S12" t="str">
        <x:f>IF(T12&lt;&gt;"OK","",IF(('09 - Plafonds et aleas'!$B$9+'09 - Plafonds et aleas'!$B$10*Q12)&lt;=100,"Aucun",IF(Q12&lt;=17,"Matériau / service",IF(Q12&lt;=19,"Incident à résoudre","Quête majeure"))))</x:f>
      </x:c>
      <x:c r="T12" t="str">
        <x:f>IF(AND(M12="",N12="",Q12=""),"",IF(OR(M12="",N12=""),"N ET CATÉGORIE REQUIS",IF(OR(N12&lt;=0,AND(ISNUMBER(O12),O12&gt;=N12)),"NIVEAU INVALIDE",IF(OR(Q12="",Q12&lt;1,Q12&gt;20),"JET REQUIS / INVALIDE","OK"))))</x:f>
      </x:c>
    </x:row>
    <x:row r="13" ht="26" customHeight="1">
      <x:c r="A13" t="str">
        <x:v>Thibault</x:v>
      </x:c>
      <x:c r="B13" s="78" t="str">
        <x:v>bracelet du meurtrier</x:v>
      </x:c>
      <x:c r="C13" t="str">
        <x:v>Achat</x:v>
      </x:c>
      <x:c r="D13"/>
      <x:c r="E13"/>
      <x:c r="F13" t="str">
        <x:v>gemmaline</x:v>
      </x:c>
      <x:c r="G13" s="60"/>
      <x:c r="H13" s="80"/>
      <x:c r="I13" t="str">
        <x:v>Non précisé</x:v>
      </x:c>
      <x:c r="J13"/>
      <x:c r="K13" s="76" t="str">
        <x:v>Lien ? oui?</x:v>
      </x:c>
      <x:c r="L13" t="str">
        <x:v>Thibault!A9:F9</x:v>
      </x:c>
      <x:c r="M13" s="187"/>
      <x:c r="N13" s="187"/>
      <x:c r="O13" s="187"/>
      <x:c r="P13" s="191" t="str">
        <x:f>IF(OR(M13="",N13="",AND(ISNUMBER(O13),O13&gt;=N13)),"",ROUND('02 - Barème'!$B$3*(N13^2-IF(O13="",0,O13)^2)*IF(M13="Arme",1,IF(M13="Armure/bouclier",'02 - Barème'!$B$4,'02 - Barème'!$B$5)),0))</x:f>
      </x:c>
      <x:c r="Q13" s="187"/>
      <x:c r="R13" s="192" t="str">
        <x:f>IF(OR(P13="",T13&lt;&gt;"OK"),"",ROUND(P13*MIN(1,('09 - Plafonds et aleas'!$B$9+'09 - Plafonds et aleas'!$B$10*Q13)/100),0))</x:f>
      </x:c>
      <x:c r="S13" t="str">
        <x:f>IF(T13&lt;&gt;"OK","",IF(('09 - Plafonds et aleas'!$B$9+'09 - Plafonds et aleas'!$B$10*Q13)&lt;=100,"Aucun",IF(Q13&lt;=17,"Matériau / service",IF(Q13&lt;=19,"Incident à résoudre","Quête majeure"))))</x:f>
      </x:c>
      <x:c r="T13" t="str">
        <x:f>IF(AND(M13="",N13="",Q13=""),"",IF(OR(M13="",N13=""),"N ET CATÉGORIE REQUIS",IF(OR(N13&lt;=0,AND(ISNUMBER(O13),O13&gt;=N13)),"NIVEAU INVALIDE",IF(OR(Q13="",Q13&lt;1,Q13&gt;20),"JET REQUIS / INVALIDE","OK"))))</x:f>
      </x:c>
    </x:row>
    <x:row r="14" ht="26" customHeight="1">
      <x:c r="A14" t="str">
        <x:v>Thibault</x:v>
      </x:c>
      <x:c r="B14" s="78" t="str">
        <x:v>Arc sournois frugal +2</x:v>
      </x:c>
      <x:c r="C14" t="str">
        <x:v>Forge</x:v>
      </x:c>
      <x:c r="D14"/>
      <x:c r="E14"/>
      <x:c r="F14" t="str">
        <x:v>gemmaline</x:v>
      </x:c>
      <x:c r="G14" s="60"/>
      <x:c r="H14" s="80"/>
      <x:c r="I14" t="str">
        <x:v>oui</x:v>
      </x:c>
      <x:c r="J14"/>
      <x:c r="K14" s="76" t="str">
        <x:v>Lien ? oui?</x:v>
      </x:c>
      <x:c r="L14" t="str">
        <x:v>Thibault!A10:F10</x:v>
      </x:c>
      <x:c r="M14" s="187" t="str">
        <x:v>Arme</x:v>
      </x:c>
      <x:c r="N14" s="187" t="n">
        <x:v>5</x:v>
      </x:c>
      <x:c r="O14" s="187" t="n">
        <x:v>0</x:v>
      </x:c>
      <x:c r="P14" s="191" t="n">
        <x:f>IF(OR(M14="",N14="",AND(ISNUMBER(O14),O14&gt;=N14)),"",ROUND('02 - Barème'!$B$3*(N14^2-IF(O14="",0,O14)^2)*IF(M14="Arme",1,IF(M14="Armure/bouclier",'02 - Barème'!$B$4,'02 - Barème'!$B$5)),0))</x:f>
        <x:v>25000</x:v>
      </x:c>
      <x:c r="Q14" s="187"/>
      <x:c r="R14" s="192" t="str">
        <x:f>IF(OR(P14="",T14&lt;&gt;"OK"),"",ROUND(P14*MIN(1,('09 - Plafonds et aleas'!$B$9+'09 - Plafonds et aleas'!$B$10*Q14)/100),0))</x:f>
      </x:c>
      <x:c r="S14" t="str">
        <x:f>IF(T14&lt;&gt;"OK","",IF(('09 - Plafonds et aleas'!$B$9+'09 - Plafonds et aleas'!$B$10*Q14)&lt;=100,"Aucun",IF(Q14&lt;=17,"Matériau / service",IF(Q14&lt;=19,"Incident à résoudre","Quête majeure"))))</x:f>
      </x:c>
      <x:c r="T14" t="str">
        <x:f>IF(AND(M14="",N14="",Q14=""),"",IF(OR(M14="",N14=""),"N ET CATÉGORIE REQUIS",IF(OR(N14&lt;=0,AND(ISNUMBER(O14),O14&gt;=N14)),"NIVEAU INVALIDE",IF(OR(Q14="",Q14&lt;1,Q14&gt;20),"JET REQUIS / INVALIDE","OK"))))</x:f>
        <x:v>JET REQUIS / INVALIDE</x:v>
      </x:c>
    </x:row>
    <x:row r="15" ht="26" customHeight="1">
      <x:c r="A15" t="str">
        <x:v>Thibault</x:v>
      </x:c>
      <x:c r="B15" s="78" t="str">
        <x:v>10 flèches d'argent +1 incassable</x:v>
      </x:c>
      <x:c r="C15" t="str">
        <x:v>Achat</x:v>
      </x:c>
      <x:c r="D15"/>
      <x:c r="E15"/>
      <x:c r="F15" t="str">
        <x:v>custom</x:v>
      </x:c>
      <x:c r="G15" s="60"/>
      <x:c r="H15" s="80"/>
      <x:c r="I15" t="str">
        <x:v>non</x:v>
      </x:c>
      <x:c r="J15"/>
      <x:c r="K15" s="76" t="str">
        <x:v>Lien ? non</x:v>
      </x:c>
      <x:c r="L15" t="str">
        <x:v>Thibault!A11:F11</x:v>
      </x:c>
      <x:c r="M15" s="187"/>
      <x:c r="N15" s="187"/>
      <x:c r="O15" s="187"/>
      <x:c r="P15" s="191" t="str">
        <x:f>IF(OR(M15="",N15="",AND(ISNUMBER(O15),O15&gt;=N15)),"",ROUND('02 - Barème'!$B$3*(N15^2-IF(O15="",0,O15)^2)*IF(M15="Arme",1,IF(M15="Armure/bouclier",'02 - Barème'!$B$4,'02 - Barème'!$B$5)),0))</x:f>
      </x:c>
      <x:c r="Q15" s="187"/>
      <x:c r="R15" s="192" t="str">
        <x:f>IF(OR(P15="",T15&lt;&gt;"OK"),"",ROUND(P15*MIN(1,('09 - Plafonds et aleas'!$B$9+'09 - Plafonds et aleas'!$B$10*Q15)/100),0))</x:f>
      </x:c>
      <x:c r="S15" t="str">
        <x:f>IF(T15&lt;&gt;"OK","",IF(('09 - Plafonds et aleas'!$B$9+'09 - Plafonds et aleas'!$B$10*Q15)&lt;=100,"Aucun",IF(Q15&lt;=17,"Matériau / service",IF(Q15&lt;=19,"Incident à résoudre","Quête majeure"))))</x:f>
      </x:c>
      <x:c r="T15" t="str">
        <x:f>IF(AND(M15="",N15="",Q15=""),"",IF(OR(M15="",N15=""),"N ET CATÉGORIE REQUIS",IF(OR(N15&lt;=0,AND(ISNUMBER(O15),O15&gt;=N15)),"NIVEAU INVALIDE",IF(OR(Q15="",Q15&lt;1,Q15&gt;20),"JET REQUIS / INVALIDE","OK"))))</x:f>
      </x:c>
    </x:row>
    <x:row r="16" ht="26" customHeight="1">
      <x:c r="A16" t="str">
        <x:v>Thibault</x:v>
      </x:c>
      <x:c r="B16" s="78" t="str">
        <x:v>Carquois d'Elhonna</x:v>
      </x:c>
      <x:c r="C16" t="str">
        <x:v>Achat</x:v>
      </x:c>
      <x:c r="D16"/>
      <x:c r="E16"/>
      <x:c r="F16" t="str">
        <x:v>aidedd</x:v>
      </x:c>
      <x:c r="G16" s="60"/>
      <x:c r="H16" s="80"/>
      <x:c r="I16" t="str">
        <x:v>oui</x:v>
      </x:c>
      <x:c r="J16"/>
      <x:c r="K16" s="76" t="str">
        <x:v>Lien ? non</x:v>
      </x:c>
      <x:c r="L16" t="str">
        <x:v>Thibault!A12:F12</x:v>
      </x:c>
      <x:c r="M16" s="187"/>
      <x:c r="N16" s="187"/>
      <x:c r="O16" s="187"/>
      <x:c r="P16" s="191" t="str">
        <x:f>IF(OR(M16="",N16="",AND(ISNUMBER(O16),O16&gt;=N16)),"",ROUND('02 - Barème'!$B$3*(N16^2-IF(O16="",0,O16)^2)*IF(M16="Arme",1,IF(M16="Armure/bouclier",'02 - Barème'!$B$4,'02 - Barème'!$B$5)),0))</x:f>
      </x:c>
      <x:c r="Q16" s="187"/>
      <x:c r="R16" s="192" t="str">
        <x:f>IF(OR(P16="",T16&lt;&gt;"OK"),"",ROUND(P16*MIN(1,('09 - Plafonds et aleas'!$B$9+'09 - Plafonds et aleas'!$B$10*Q16)/100),0))</x:f>
      </x:c>
      <x:c r="S16" t="str">
        <x:f>IF(T16&lt;&gt;"OK","",IF(('09 - Plafonds et aleas'!$B$9+'09 - Plafonds et aleas'!$B$10*Q16)&lt;=100,"Aucun",IF(Q16&lt;=17,"Matériau / service",IF(Q16&lt;=19,"Incident à résoudre","Quête majeure"))))</x:f>
      </x:c>
      <x:c r="T16" t="str">
        <x:f>IF(AND(M16="",N16="",Q16=""),"",IF(OR(M16="",N16=""),"N ET CATÉGORIE REQUIS",IF(OR(N16&lt;=0,AND(ISNUMBER(O16),O16&gt;=N16)),"NIVEAU INVALIDE",IF(OR(Q16="",Q16&lt;1,Q16&gt;20),"JET REQUIS / INVALIDE","OK"))))</x:f>
      </x:c>
    </x:row>
    <x:row r="17" ht="26" customHeight="1">
      <x:c r="A17" t="str">
        <x:v>Thibault</x:v>
      </x:c>
      <x:c r="B17" s="78" t="str">
        <x:v>Colle universelle</x:v>
      </x:c>
      <x:c r="C17" t="str">
        <x:v>Achat</x:v>
      </x:c>
      <x:c r="D17"/>
      <x:c r="E17"/>
      <x:c r="F17"/>
      <x:c r="G17" s="60"/>
      <x:c r="H17" s="80"/>
      <x:c r="I17" t="str">
        <x:v>Non précisé</x:v>
      </x:c>
      <x:c r="J17"/>
      <x:c r="K17" s="76" t="str">
        <x:v>Lien ? non</x:v>
      </x:c>
      <x:c r="L17" t="str">
        <x:v>Thibault!A13:F13</x:v>
      </x:c>
      <x:c r="M17" s="187"/>
      <x:c r="N17" s="187"/>
      <x:c r="O17" s="187"/>
      <x:c r="P17" s="191" t="str">
        <x:f>IF(OR(M17="",N17="",AND(ISNUMBER(O17),O17&gt;=N17)),"",ROUND('02 - Barème'!$B$3*(N17^2-IF(O17="",0,O17)^2)*IF(M17="Arme",1,IF(M17="Armure/bouclier",'02 - Barème'!$B$4,'02 - Barème'!$B$5)),0))</x:f>
      </x:c>
      <x:c r="Q17" s="187"/>
      <x:c r="R17" s="192" t="str">
        <x:f>IF(OR(P17="",T17&lt;&gt;"OK"),"",ROUND(P17*MIN(1,('09 - Plafonds et aleas'!$B$9+'09 - Plafonds et aleas'!$B$10*Q17)/100),0))</x:f>
      </x:c>
      <x:c r="S17" t="str">
        <x:f>IF(T17&lt;&gt;"OK","",IF(('09 - Plafonds et aleas'!$B$9+'09 - Plafonds et aleas'!$B$10*Q17)&lt;=100,"Aucun",IF(Q17&lt;=17,"Matériau / service",IF(Q17&lt;=19,"Incident à résoudre","Quête majeure"))))</x:f>
      </x:c>
      <x:c r="T17" t="str">
        <x:f>IF(AND(M17="",N17="",Q17=""),"",IF(OR(M17="",N17=""),"N ET CATÉGORIE REQUIS",IF(OR(N17&lt;=0,AND(ISNUMBER(O17),O17&gt;=N17)),"NIVEAU INVALIDE",IF(OR(Q17="",Q17&lt;1,Q17&gt;20),"JET REQUIS / INVALIDE","OK"))))</x:f>
      </x:c>
    </x:row>
    <x:row r="18" ht="26" customHeight="1">
      <x:c r="A18" t="str">
        <x:v>Thibault</x:v>
      </x:c>
      <x:c r="B18" s="78" t="str">
        <x:v>menottes dimensionneles</x:v>
      </x:c>
      <x:c r="C18" t="str">
        <x:v>Achat</x:v>
      </x:c>
      <x:c r="D18"/>
      <x:c r="E18"/>
      <x:c r="F18" t="str">
        <x:v>aidedd</x:v>
      </x:c>
      <x:c r="G18" s="60"/>
      <x:c r="H18" s="80"/>
      <x:c r="I18" t="str">
        <x:v>Non précisé</x:v>
      </x:c>
      <x:c r="J18"/>
      <x:c r="K18" s="76" t="str">
        <x:v>Lien ? non</x:v>
      </x:c>
      <x:c r="L18" t="str">
        <x:v>Thibault!A14:F14</x:v>
      </x:c>
      <x:c r="M18" s="187"/>
      <x:c r="N18" s="187"/>
      <x:c r="O18" s="187"/>
      <x:c r="P18" s="191" t="str">
        <x:f>IF(OR(M18="",N18="",AND(ISNUMBER(O18),O18&gt;=N18)),"",ROUND('02 - Barème'!$B$3*(N18^2-IF(O18="",0,O18)^2)*IF(M18="Arme",1,IF(M18="Armure/bouclier",'02 - Barème'!$B$4,'02 - Barème'!$B$5)),0))</x:f>
      </x:c>
      <x:c r="Q18" s="187"/>
      <x:c r="R18" s="192" t="str">
        <x:f>IF(OR(P18="",T18&lt;&gt;"OK"),"",ROUND(P18*MIN(1,('09 - Plafonds et aleas'!$B$9+'09 - Plafonds et aleas'!$B$10*Q18)/100),0))</x:f>
      </x:c>
      <x:c r="S18" t="str">
        <x:f>IF(T18&lt;&gt;"OK","",IF(('09 - Plafonds et aleas'!$B$9+'09 - Plafonds et aleas'!$B$10*Q18)&lt;=100,"Aucun",IF(Q18&lt;=17,"Matériau / service",IF(Q18&lt;=19,"Incident à résoudre","Quête majeure"))))</x:f>
      </x:c>
      <x:c r="T18" t="str">
        <x:f>IF(AND(M18="",N18="",Q18=""),"",IF(OR(M18="",N18=""),"N ET CATÉGORIE REQUIS",IF(OR(N18&lt;=0,AND(ISNUMBER(O18),O18&gt;=N18)),"NIVEAU INVALIDE",IF(OR(Q18="",Q18&lt;1,Q18&gt;20),"JET REQUIS / INVALIDE","OK"))))</x:f>
      </x:c>
    </x:row>
    <x:row r="19" ht="26" customHeight="1">
      <x:c r="A19" t="str">
        <x:v>Thibault</x:v>
      </x:c>
      <x:c r="B19" s="78" t="str">
        <x:v>breast plate +2 de souffle glamour</x:v>
      </x:c>
      <x:c r="C19" t="str">
        <x:v>Forge</x:v>
      </x:c>
      <x:c r="D19"/>
      <x:c r="E19"/>
      <x:c r="F19"/>
      <x:c r="G19" s="60"/>
      <x:c r="H19" s="80"/>
      <x:c r="I19" t="str">
        <x:v>oui</x:v>
      </x:c>
      <x:c r="J19"/>
      <x:c r="K19" s="76" t="str">
        <x:v>Lien ? non</x:v>
      </x:c>
      <x:c r="L19" t="str">
        <x:v>Thibault!A15:F15</x:v>
      </x:c>
      <x:c r="M19" s="187"/>
      <x:c r="N19" s="187"/>
      <x:c r="O19" s="187"/>
      <x:c r="P19" s="191" t="str">
        <x:f>IF(OR(M19="",N19="",AND(ISNUMBER(O19),O19&gt;=N19)),"",ROUND('02 - Barème'!$B$3*(N19^2-IF(O19="",0,O19)^2)*IF(M19="Arme",1,IF(M19="Armure/bouclier",'02 - Barème'!$B$4,'02 - Barème'!$B$5)),0))</x:f>
      </x:c>
      <x:c r="Q19" s="187"/>
      <x:c r="R19" s="192" t="str">
        <x:f>IF(OR(P19="",T19&lt;&gt;"OK"),"",ROUND(P19*MIN(1,('09 - Plafonds et aleas'!$B$9+'09 - Plafonds et aleas'!$B$10*Q19)/100),0))</x:f>
      </x:c>
      <x:c r="S19" t="str">
        <x:f>IF(T19&lt;&gt;"OK","",IF(('09 - Plafonds et aleas'!$B$9+'09 - Plafonds et aleas'!$B$10*Q19)&lt;=100,"Aucun",IF(Q19&lt;=17,"Matériau / service",IF(Q19&lt;=19,"Incident à résoudre","Quête majeure"))))</x:f>
      </x:c>
      <x:c r="T19" t="str">
        <x:f>IF(AND(M19="",N19="",Q19=""),"",IF(OR(M19="",N19=""),"N ET CATÉGORIE REQUIS",IF(OR(N19&lt;=0,AND(ISNUMBER(O19),O19&gt;=N19)),"NIVEAU INVALIDE",IF(OR(Q19="",Q19&lt;1,Q19&gt;20),"JET REQUIS / INVALIDE","OK"))))</x:f>
      </x:c>
    </x:row>
    <x:row r="20" ht="26" customHeight="1">
      <x:c r="A20" t="str">
        <x:v>Thibault</x:v>
      </x:c>
      <x:c r="B20" s="78" t="str">
        <x:v>anneau +1</x:v>
      </x:c>
      <x:c r="C20" t="str">
        <x:v>Forge</x:v>
      </x:c>
      <x:c r="D20"/>
      <x:c r="E20"/>
      <x:c r="F20"/>
      <x:c r="G20" s="60"/>
      <x:c r="H20" s="80"/>
      <x:c r="I20" t="str">
        <x:v>oui</x:v>
      </x:c>
      <x:c r="J20"/>
      <x:c r="K20" s="76" t="str">
        <x:v>Lien ? oui?</x:v>
      </x:c>
      <x:c r="L20" t="str">
        <x:v>Thibault!A16:F16</x:v>
      </x:c>
      <x:c r="M20" s="187"/>
      <x:c r="N20" s="187"/>
      <x:c r="O20" s="187"/>
      <x:c r="P20" s="191" t="str">
        <x:f>IF(OR(M20="",N20="",AND(ISNUMBER(O20),O20&gt;=N20)),"",ROUND('02 - Barème'!$B$3*(N20^2-IF(O20="",0,O20)^2)*IF(M20="Arme",1,IF(M20="Armure/bouclier",'02 - Barème'!$B$4,'02 - Barème'!$B$5)),0))</x:f>
      </x:c>
      <x:c r="Q20" s="187"/>
      <x:c r="R20" s="192" t="str">
        <x:f>IF(OR(P20="",T20&lt;&gt;"OK"),"",ROUND(P20*MIN(1,('09 - Plafonds et aleas'!$B$9+'09 - Plafonds et aleas'!$B$10*Q20)/100),0))</x:f>
      </x:c>
      <x:c r="S20" t="str">
        <x:f>IF(T20&lt;&gt;"OK","",IF(('09 - Plafonds et aleas'!$B$9+'09 - Plafonds et aleas'!$B$10*Q20)&lt;=100,"Aucun",IF(Q20&lt;=17,"Matériau / service",IF(Q20&lt;=19,"Incident à résoudre","Quête majeure"))))</x:f>
      </x:c>
      <x:c r="T20" t="str">
        <x:f>IF(AND(M20="",N20="",Q20=""),"",IF(OR(M20="",N20=""),"N ET CATÉGORIE REQUIS",IF(OR(N20&lt;=0,AND(ISNUMBER(O20),O20&gt;=N20)),"NIVEAU INVALIDE",IF(OR(Q20="",Q20&lt;1,Q20&gt;20),"JET REQUIS / INVALIDE","OK"))))</x:f>
      </x:c>
    </x:row>
    <x:row r="21" ht="26" customHeight="1">
      <x:c r="A21" t="str">
        <x:v>Thibault</x:v>
      </x:c>
      <x:c r="B21" s="78" t="str">
        <x:v>poudre de disparition *5</x:v>
      </x:c>
      <x:c r="C21" t="str">
        <x:v>Achat</x:v>
      </x:c>
      <x:c r="D21"/>
      <x:c r="E21"/>
      <x:c r="F21"/>
      <x:c r="G21" s="60"/>
      <x:c r="H21" s="80"/>
      <x:c r="I21" t="str">
        <x:v>oui</x:v>
      </x:c>
      <x:c r="J21"/>
      <x:c r="K21" s="76" t="str">
        <x:v>Lien ? non</x:v>
      </x:c>
      <x:c r="L21" t="str">
        <x:v>Thibault!A17:F17</x:v>
      </x:c>
      <x:c r="M21" s="187"/>
      <x:c r="N21" s="187"/>
      <x:c r="O21" s="187"/>
      <x:c r="P21" s="191" t="str">
        <x:f>IF(OR(M21="",N21="",AND(ISNUMBER(O21),O21&gt;=N21)),"",ROUND('02 - Barème'!$B$3*(N21^2-IF(O21="",0,O21)^2)*IF(M21="Arme",1,IF(M21="Armure/bouclier",'02 - Barème'!$B$4,'02 - Barème'!$B$5)),0))</x:f>
      </x:c>
      <x:c r="Q21" s="187"/>
      <x:c r="R21" s="192" t="str">
        <x:f>IF(OR(P21="",T21&lt;&gt;"OK"),"",ROUND(P21*MIN(1,('09 - Plafonds et aleas'!$B$9+'09 - Plafonds et aleas'!$B$10*Q21)/100),0))</x:f>
      </x:c>
      <x:c r="S21" t="str">
        <x:f>IF(T21&lt;&gt;"OK","",IF(('09 - Plafonds et aleas'!$B$9+'09 - Plafonds et aleas'!$B$10*Q21)&lt;=100,"Aucun",IF(Q21&lt;=17,"Matériau / service",IF(Q21&lt;=19,"Incident à résoudre","Quête majeure"))))</x:f>
      </x:c>
      <x:c r="T21" t="str">
        <x:f>IF(AND(M21="",N21="",Q21=""),"",IF(OR(M21="",N21=""),"N ET CATÉGORIE REQUIS",IF(OR(N21&lt;=0,AND(ISNUMBER(O21),O21&gt;=N21)),"NIVEAU INVALIDE",IF(OR(Q21="",Q21&lt;1,Q21&gt;20),"JET REQUIS / INVALIDE","OK"))))</x:f>
      </x:c>
    </x:row>
    <x:row r="22" ht="26" customHeight="1">
      <x:c r="A22" t="str">
        <x:v>Thibault</x:v>
      </x:c>
      <x:c r="B22" s="78" t="str">
        <x:v>amulette antidote</x:v>
      </x:c>
      <x:c r="C22" t="str">
        <x:v>Achat</x:v>
      </x:c>
      <x:c r="D22"/>
      <x:c r="E22"/>
      <x:c r="F22"/>
      <x:c r="G22" s="60"/>
      <x:c r="H22" s="80"/>
      <x:c r="I22" t="str">
        <x:v>oui</x:v>
      </x:c>
      <x:c r="J22"/>
      <x:c r="K22" s="76" t="str">
        <x:v>Lien ? non</x:v>
      </x:c>
      <x:c r="L22" t="str">
        <x:v>Thibault!A18:F18</x:v>
      </x:c>
      <x:c r="M22" s="187"/>
      <x:c r="N22" s="187"/>
      <x:c r="O22" s="187"/>
      <x:c r="P22" s="191" t="str">
        <x:f>IF(OR(M22="",N22="",AND(ISNUMBER(O22),O22&gt;=N22)),"",ROUND('02 - Barème'!$B$3*(N22^2-IF(O22="",0,O22)^2)*IF(M22="Arme",1,IF(M22="Armure/bouclier",'02 - Barème'!$B$4,'02 - Barème'!$B$5)),0))</x:f>
      </x:c>
      <x:c r="Q22" s="187"/>
      <x:c r="R22" s="192" t="str">
        <x:f>IF(OR(P22="",T22&lt;&gt;"OK"),"",ROUND(P22*MIN(1,('09 - Plafonds et aleas'!$B$9+'09 - Plafonds et aleas'!$B$10*Q22)/100),0))</x:f>
      </x:c>
      <x:c r="S22" t="str">
        <x:f>IF(T22&lt;&gt;"OK","",IF(('09 - Plafonds et aleas'!$B$9+'09 - Plafonds et aleas'!$B$10*Q22)&lt;=100,"Aucun",IF(Q22&lt;=17,"Matériau / service",IF(Q22&lt;=19,"Incident à résoudre","Quête majeure"))))</x:f>
      </x:c>
      <x:c r="T22" t="str">
        <x:f>IF(AND(M22="",N22="",Q22=""),"",IF(OR(M22="",N22=""),"N ET CATÉGORIE REQUIS",IF(OR(N22&lt;=0,AND(ISNUMBER(O22),O22&gt;=N22)),"NIVEAU INVALIDE",IF(OR(Q22="",Q22&lt;1,Q22&gt;20),"JET REQUIS / INVALIDE","OK"))))</x:f>
      </x:c>
    </x:row>
    <x:row r="23" ht="26" customHeight="1">
      <x:c r="A23" t="str">
        <x:v>Thibault</x:v>
      </x:c>
      <x:c r="B23" s="78" t="str">
        <x:v>cube de force</x:v>
      </x:c>
      <x:c r="C23" t="str">
        <x:v>Achat</x:v>
      </x:c>
      <x:c r="D23"/>
      <x:c r="E23"/>
      <x:c r="F23"/>
      <x:c r="G23" s="60"/>
      <x:c r="H23" s="80"/>
      <x:c r="I23" t="str">
        <x:v>oui</x:v>
      </x:c>
      <x:c r="J23"/>
      <x:c r="K23" s="76" t="str">
        <x:v>Lien ? oui</x:v>
      </x:c>
      <x:c r="L23" t="str">
        <x:v>Thibault!A19:F19</x:v>
      </x:c>
      <x:c r="M23" s="187"/>
      <x:c r="N23" s="187"/>
      <x:c r="O23" s="187"/>
      <x:c r="P23" s="191" t="str">
        <x:f>IF(OR(M23="",N23="",AND(ISNUMBER(O23),O23&gt;=N23)),"",ROUND('02 - Barème'!$B$3*(N23^2-IF(O23="",0,O23)^2)*IF(M23="Arme",1,IF(M23="Armure/bouclier",'02 - Barème'!$B$4,'02 - Barème'!$B$5)),0))</x:f>
      </x:c>
      <x:c r="Q23" s="187"/>
      <x:c r="R23" s="192" t="str">
        <x:f>IF(OR(P23="",T23&lt;&gt;"OK"),"",ROUND(P23*MIN(1,('09 - Plafonds et aleas'!$B$9+'09 - Plafonds et aleas'!$B$10*Q23)/100),0))</x:f>
      </x:c>
      <x:c r="S23" t="str">
        <x:f>IF(T23&lt;&gt;"OK","",IF(('09 - Plafonds et aleas'!$B$9+'09 - Plafonds et aleas'!$B$10*Q23)&lt;=100,"Aucun",IF(Q23&lt;=17,"Matériau / service",IF(Q23&lt;=19,"Incident à résoudre","Quête majeure"))))</x:f>
      </x:c>
      <x:c r="T23" t="str">
        <x:f>IF(AND(M23="",N23="",Q23=""),"",IF(OR(M23="",N23=""),"N ET CATÉGORIE REQUIS",IF(OR(N23&lt;=0,AND(ISNUMBER(O23),O23&gt;=N23)),"NIVEAU INVALIDE",IF(OR(Q23="",Q23&lt;1,Q23&gt;20),"JET REQUIS / INVALIDE","OK"))))</x:f>
      </x:c>
    </x:row>
    <x:row r="24" ht="26" customHeight="1">
      <x:c r="A24" t="str">
        <x:v>Thibault</x:v>
      </x:c>
      <x:c r="B24" s="78" t="str">
        <x:v>bottes elfiques</x:v>
      </x:c>
      <x:c r="C24" t="str">
        <x:v>Achat</x:v>
      </x:c>
      <x:c r="D24"/>
      <x:c r="E24"/>
      <x:c r="F24"/>
      <x:c r="G24" s="60"/>
      <x:c r="H24" s="80"/>
      <x:c r="I24" t="str">
        <x:v>oui</x:v>
      </x:c>
      <x:c r="J24"/>
      <x:c r="K24" s="76" t="str">
        <x:v>Lien ? non</x:v>
      </x:c>
      <x:c r="L24" t="str">
        <x:v>Thibault!A20:F20</x:v>
      </x:c>
      <x:c r="M24" s="187"/>
      <x:c r="N24" s="187"/>
      <x:c r="O24" s="187"/>
      <x:c r="P24" s="191" t="str">
        <x:f>IF(OR(M24="",N24="",AND(ISNUMBER(O24),O24&gt;=N24)),"",ROUND('02 - Barème'!$B$3*(N24^2-IF(O24="",0,O24)^2)*IF(M24="Arme",1,IF(M24="Armure/bouclier",'02 - Barème'!$B$4,'02 - Barème'!$B$5)),0))</x:f>
      </x:c>
      <x:c r="Q24" s="187"/>
      <x:c r="R24" s="192" t="str">
        <x:f>IF(OR(P24="",T24&lt;&gt;"OK"),"",ROUND(P24*MIN(1,('09 - Plafonds et aleas'!$B$9+'09 - Plafonds et aleas'!$B$10*Q24)/100),0))</x:f>
      </x:c>
      <x:c r="S24" t="str">
        <x:f>IF(T24&lt;&gt;"OK","",IF(('09 - Plafonds et aleas'!$B$9+'09 - Plafonds et aleas'!$B$10*Q24)&lt;=100,"Aucun",IF(Q24&lt;=17,"Matériau / service",IF(Q24&lt;=19,"Incident à résoudre","Quête majeure"))))</x:f>
      </x:c>
      <x:c r="T24" t="str">
        <x:f>IF(AND(M24="",N24="",Q24=""),"",IF(OR(M24="",N24=""),"N ET CATÉGORIE REQUIS",IF(OR(N24&lt;=0,AND(ISNUMBER(O24),O24&gt;=N24)),"NIVEAU INVALIDE",IF(OR(Q24="",Q24&lt;1,Q24&gt;20),"JET REQUIS / INVALIDE","OK"))))</x:f>
      </x:c>
    </x:row>
    <x:row r="25" ht="26" customHeight="1">
      <x:c r="A25" t="str">
        <x:v>Thibault</x:v>
      </x:c>
      <x:c r="B25" s="78" t="str">
        <x:v>bouteille fumigene</x:v>
      </x:c>
      <x:c r="C25" t="str">
        <x:v>Achat</x:v>
      </x:c>
      <x:c r="D25"/>
      <x:c r="E25"/>
      <x:c r="F25"/>
      <x:c r="G25" s="60"/>
      <x:c r="H25" s="80"/>
      <x:c r="I25" t="str">
        <x:v>oui</x:v>
      </x:c>
      <x:c r="J25"/>
      <x:c r="K25" s="76" t="str">
        <x:v>Lien ? non</x:v>
      </x:c>
      <x:c r="L25" t="str">
        <x:v>Thibault!A21:F21</x:v>
      </x:c>
      <x:c r="M25" s="187"/>
      <x:c r="N25" s="187"/>
      <x:c r="O25" s="187"/>
      <x:c r="P25" s="191" t="str">
        <x:f>IF(OR(M25="",N25="",AND(ISNUMBER(O25),O25&gt;=N25)),"",ROUND('02 - Barème'!$B$3*(N25^2-IF(O25="",0,O25)^2)*IF(M25="Arme",1,IF(M25="Armure/bouclier",'02 - Barème'!$B$4,'02 - Barème'!$B$5)),0))</x:f>
      </x:c>
      <x:c r="Q25" s="187"/>
      <x:c r="R25" s="192" t="str">
        <x:f>IF(OR(P25="",T25&lt;&gt;"OK"),"",ROUND(P25*MIN(1,('09 - Plafonds et aleas'!$B$9+'09 - Plafonds et aleas'!$B$10*Q25)/100),0))</x:f>
      </x:c>
      <x:c r="S25" t="str">
        <x:f>IF(T25&lt;&gt;"OK","",IF(('09 - Plafonds et aleas'!$B$9+'09 - Plafonds et aleas'!$B$10*Q25)&lt;=100,"Aucun",IF(Q25&lt;=17,"Matériau / service",IF(Q25&lt;=19,"Incident à résoudre","Quête majeure"))))</x:f>
      </x:c>
      <x:c r="T25" t="str">
        <x:f>IF(AND(M25="",N25="",Q25=""),"",IF(OR(M25="",N25=""),"N ET CATÉGORIE REQUIS",IF(OR(N25&lt;=0,AND(ISNUMBER(O25),O25&gt;=N25)),"NIVEAU INVALIDE",IF(OR(Q25="",Q25&lt;1,Q25&gt;20),"JET REQUIS / INVALIDE","OK"))))</x:f>
      </x:c>
    </x:row>
    <x:row r="26" ht="26" customHeight="1">
      <x:c r="A26" t="str">
        <x:v>Thibault</x:v>
      </x:c>
      <x:c r="B26" s="78" t="str">
        <x:v>flèche incassable x20</x:v>
      </x:c>
      <x:c r="C26" t="str">
        <x:v>Achat</x:v>
      </x:c>
      <x:c r="D26"/>
      <x:c r="E26"/>
      <x:c r="F26"/>
      <x:c r="G26" s="60"/>
      <x:c r="H26" s="80"/>
      <x:c r="I26" t="str">
        <x:v>oui</x:v>
      </x:c>
      <x:c r="J26"/>
      <x:c r="K26" s="76" t="str">
        <x:v>Lien ? non</x:v>
      </x:c>
      <x:c r="L26" t="str">
        <x:v>Thibault!A22:F22</x:v>
      </x:c>
      <x:c r="M26" s="187"/>
      <x:c r="N26" s="187"/>
      <x:c r="O26" s="187"/>
      <x:c r="P26" s="191" t="str">
        <x:f>IF(OR(M26="",N26="",AND(ISNUMBER(O26),O26&gt;=N26)),"",ROUND('02 - Barème'!$B$3*(N26^2-IF(O26="",0,O26)^2)*IF(M26="Arme",1,IF(M26="Armure/bouclier",'02 - Barème'!$B$4,'02 - Barème'!$B$5)),0))</x:f>
      </x:c>
      <x:c r="Q26" s="187"/>
      <x:c r="R26" s="192" t="str">
        <x:f>IF(OR(P26="",T26&lt;&gt;"OK"),"",ROUND(P26*MIN(1,('09 - Plafonds et aleas'!$B$9+'09 - Plafonds et aleas'!$B$10*Q26)/100),0))</x:f>
      </x:c>
      <x:c r="S26" t="str">
        <x:f>IF(T26&lt;&gt;"OK","",IF(('09 - Plafonds et aleas'!$B$9+'09 - Plafonds et aleas'!$B$10*Q26)&lt;=100,"Aucun",IF(Q26&lt;=17,"Matériau / service",IF(Q26&lt;=19,"Incident à résoudre","Quête majeure"))))</x:f>
      </x:c>
      <x:c r="T26" t="str">
        <x:f>IF(AND(M26="",N26="",Q26=""),"",IF(OR(M26="",N26=""),"N ET CATÉGORIE REQUIS",IF(OR(N26&lt;=0,AND(ISNUMBER(O26),O26&gt;=N26)),"NIVEAU INVALIDE",IF(OR(Q26="",Q26&lt;1,Q26&gt;20),"JET REQUIS / INVALIDE","OK"))))</x:f>
      </x:c>
    </x:row>
    <x:row r="27" ht="26" customHeight="1">
      <x:c r="A27" t="str">
        <x:v>Thibault</x:v>
      </x:c>
      <x:c r="B27" s="78" t="str">
        <x:v>flèche percutantes x10</x:v>
      </x:c>
      <x:c r="C27" t="str">
        <x:v>Achat</x:v>
      </x:c>
      <x:c r="D27"/>
      <x:c r="E27"/>
      <x:c r="F27"/>
      <x:c r="G27" s="60"/>
      <x:c r="H27" s="80"/>
      <x:c r="I27" t="str">
        <x:v>Non précisé</x:v>
      </x:c>
      <x:c r="J27"/>
      <x:c r="K27" s="76" t="str">
        <x:v>Lien ? non</x:v>
      </x:c>
      <x:c r="L27" t="str">
        <x:v>Thibault!A23:F23</x:v>
      </x:c>
      <x:c r="M27" s="187"/>
      <x:c r="N27" s="187"/>
      <x:c r="O27" s="187"/>
      <x:c r="P27" s="191" t="str">
        <x:f>IF(OR(M27="",N27="",AND(ISNUMBER(O27),O27&gt;=N27)),"",ROUND('02 - Barème'!$B$3*(N27^2-IF(O27="",0,O27)^2)*IF(M27="Arme",1,IF(M27="Armure/bouclier",'02 - Barème'!$B$4,'02 - Barème'!$B$5)),0))</x:f>
      </x:c>
      <x:c r="Q27" s="187"/>
      <x:c r="R27" s="192" t="str">
        <x:f>IF(OR(P27="",T27&lt;&gt;"OK"),"",ROUND(P27*MIN(1,('09 - Plafonds et aleas'!$B$9+'09 - Plafonds et aleas'!$B$10*Q27)/100),0))</x:f>
      </x:c>
      <x:c r="S27" t="str">
        <x:f>IF(T27&lt;&gt;"OK","",IF(('09 - Plafonds et aleas'!$B$9+'09 - Plafonds et aleas'!$B$10*Q27)&lt;=100,"Aucun",IF(Q27&lt;=17,"Matériau / service",IF(Q27&lt;=19,"Incident à résoudre","Quête majeure"))))</x:f>
      </x:c>
      <x:c r="T27" t="str">
        <x:f>IF(AND(M27="",N27="",Q27=""),"",IF(OR(M27="",N27=""),"N ET CATÉGORIE REQUIS",IF(OR(N27&lt;=0,AND(ISNUMBER(O27),O27&gt;=N27)),"NIVEAU INVALIDE",IF(OR(Q27="",Q27&lt;1,Q27&gt;20),"JET REQUIS / INVALIDE","OK"))))</x:f>
      </x:c>
    </x:row>
    <x:row r="28" ht="26" customHeight="1">
      <x:c r="A28" t="str">
        <x:v>Thaïs</x:v>
      </x:c>
      <x:c r="B28" s="78" t="str">
        <x:v>Sac sans fond</x:v>
      </x:c>
      <x:c r="C28" t="str">
        <x:v>Achat</x:v>
      </x:c>
      <x:c r="D28" t="n">
        <x:v>1</x:v>
      </x:c>
      <x:c r="E28" t="str">
        <x:v>peu commun</x:v>
      </x:c>
      <x:c r="F28" t="str">
        <x:v>aidedd</x:v>
      </x:c>
      <x:c r="G28" s="60"/>
      <x:c r="H28" s="80" t="n">
        <x:v>500</x:v>
      </x:c>
      <x:c r="I28" t="str">
        <x:v>Oui</x:v>
      </x:c>
      <x:c r="J28"/>
      <x:c r="K28" s="76" t="str"/>
      <x:c r="L28" t="str">
        <x:v>Thaïs!A52:I52</x:v>
      </x:c>
      <x:c r="M28" s="187"/>
      <x:c r="N28" s="187"/>
      <x:c r="O28" s="187"/>
      <x:c r="P28" s="191" t="str">
        <x:f>IF(OR(M28="",N28="",AND(ISNUMBER(O28),O28&gt;=N28)),"",ROUND('02 - Barème'!$B$3*(N28^2-IF(O28="",0,O28)^2)*IF(M28="Arme",1,IF(M28="Armure/bouclier",'02 - Barème'!$B$4,'02 - Barème'!$B$5)),0))</x:f>
      </x:c>
      <x:c r="Q28" s="187"/>
      <x:c r="R28" s="192" t="str">
        <x:f>IF(OR(P28="",T28&lt;&gt;"OK"),"",ROUND(P28*MIN(1,('09 - Plafonds et aleas'!$B$9+'09 - Plafonds et aleas'!$B$10*Q28)/100),0))</x:f>
      </x:c>
      <x:c r="S28" t="str">
        <x:f>IF(T28&lt;&gt;"OK","",IF(('09 - Plafonds et aleas'!$B$9+'09 - Plafonds et aleas'!$B$10*Q28)&lt;=100,"Aucun",IF(Q28&lt;=17,"Matériau / service",IF(Q28&lt;=19,"Incident à résoudre","Quête majeure"))))</x:f>
      </x:c>
      <x:c r="T28" t="str">
        <x:f>IF(AND(M28="",N28="",Q28=""),"",IF(OR(M28="",N28=""),"N ET CATÉGORIE REQUIS",IF(OR(N28&lt;=0,AND(ISNUMBER(O28),O28&gt;=N28)),"NIVEAU INVALIDE",IF(OR(Q28="",Q28&lt;1,Q28&gt;20),"JET REQUIS / INVALIDE","OK"))))</x:f>
      </x:c>
    </x:row>
    <x:row r="29" ht="26" customHeight="1">
      <x:c r="A29" t="str">
        <x:v>Thaïs</x:v>
      </x:c>
      <x:c r="B29" s="78" t="str">
        <x:v>Illusionist's bracers</x:v>
      </x:c>
      <x:c r="C29" t="str">
        <x:v>Achat</x:v>
      </x:c>
      <x:c r="D29" t="n">
        <x:v>2</x:v>
      </x:c>
      <x:c r="E29" t="str">
        <x:v>Très rare</x:v>
      </x:c>
      <x:c r="F29" t="str">
        <x:v>Guildmasters' Guide to Ravnica</x:v>
      </x:c>
      <x:c r="G29" s="60"/>
      <x:c r="H29" s="80"/>
      <x:c r="I29" t="str">
        <x:v>Oui</x:v>
      </x:c>
      <x:c r="J29"/>
      <x:c r="K29" s="76" t="str">
        <x:v>Mention MJ: Non</x:v>
      </x:c>
      <x:c r="L29" t="str">
        <x:v>Thaïs!A53:I53</x:v>
      </x:c>
      <x:c r="M29" s="187"/>
      <x:c r="N29" s="187"/>
      <x:c r="O29" s="187"/>
      <x:c r="P29" s="191" t="str">
        <x:f>IF(OR(M29="",N29="",AND(ISNUMBER(O29),O29&gt;=N29)),"",ROUND('02 - Barème'!$B$3*(N29^2-IF(O29="",0,O29)^2)*IF(M29="Arme",1,IF(M29="Armure/bouclier",'02 - Barème'!$B$4,'02 - Barème'!$B$5)),0))</x:f>
      </x:c>
      <x:c r="Q29" s="187"/>
      <x:c r="R29" s="192" t="str">
        <x:f>IF(OR(P29="",T29&lt;&gt;"OK"),"",ROUND(P29*MIN(1,('09 - Plafonds et aleas'!$B$9+'09 - Plafonds et aleas'!$B$10*Q29)/100),0))</x:f>
      </x:c>
      <x:c r="S29" t="str">
        <x:f>IF(T29&lt;&gt;"OK","",IF(('09 - Plafonds et aleas'!$B$9+'09 - Plafonds et aleas'!$B$10*Q29)&lt;=100,"Aucun",IF(Q29&lt;=17,"Matériau / service",IF(Q29&lt;=19,"Incident à résoudre","Quête majeure"))))</x:f>
      </x:c>
      <x:c r="T29" t="str">
        <x:f>IF(AND(M29="",N29="",Q29=""),"",IF(OR(M29="",N29=""),"N ET CATÉGORIE REQUIS",IF(OR(N29&lt;=0,AND(ISNUMBER(O29),O29&gt;=N29)),"NIVEAU INVALIDE",IF(OR(Q29="",Q29&lt;1,Q29&gt;20),"JET REQUIS / INVALIDE","OK"))))</x:f>
      </x:c>
    </x:row>
    <x:row r="30" ht="26" customHeight="1">
      <x:c r="A30" t="str">
        <x:v>Thaïs</x:v>
      </x:c>
      <x:c r="B30" s="78" t="str">
        <x:v>Cloak of displacement</x:v>
      </x:c>
      <x:c r="C30" t="str">
        <x:v>Achat</x:v>
      </x:c>
      <x:c r="D30"/>
      <x:c r="E30" t="str">
        <x:v>Rare</x:v>
      </x:c>
      <x:c r="F30" t="str">
        <x:v>aidedd</x:v>
      </x:c>
      <x:c r="G30" s="60"/>
      <x:c r="H30" s="80"/>
      <x:c r="I30" t="str">
        <x:v>Non précisé</x:v>
      </x:c>
      <x:c r="J30"/>
      <x:c r="K30" s="76" t="str"/>
      <x:c r="L30" t="str">
        <x:v>Thaïs!A54:I54</x:v>
      </x:c>
      <x:c r="M30" s="187"/>
      <x:c r="N30" s="187"/>
      <x:c r="O30" s="187"/>
      <x:c r="P30" s="191" t="str">
        <x:f>IF(OR(M30="",N30="",AND(ISNUMBER(O30),O30&gt;=N30)),"",ROUND('02 - Barème'!$B$3*(N30^2-IF(O30="",0,O30)^2)*IF(M30="Arme",1,IF(M30="Armure/bouclier",'02 - Barème'!$B$4,'02 - Barème'!$B$5)),0))</x:f>
      </x:c>
      <x:c r="Q30" s="187"/>
      <x:c r="R30" s="192" t="str">
        <x:f>IF(OR(P30="",T30&lt;&gt;"OK"),"",ROUND(P30*MIN(1,('09 - Plafonds et aleas'!$B$9+'09 - Plafonds et aleas'!$B$10*Q30)/100),0))</x:f>
      </x:c>
      <x:c r="S30" t="str">
        <x:f>IF(T30&lt;&gt;"OK","",IF(('09 - Plafonds et aleas'!$B$9+'09 - Plafonds et aleas'!$B$10*Q30)&lt;=100,"Aucun",IF(Q30&lt;=17,"Matériau / service",IF(Q30&lt;=19,"Incident à résoudre","Quête majeure"))))</x:f>
      </x:c>
      <x:c r="T30" t="str">
        <x:f>IF(AND(M30="",N30="",Q30=""),"",IF(OR(M30="",N30=""),"N ET CATÉGORIE REQUIS",IF(OR(N30&lt;=0,AND(ISNUMBER(O30),O30&gt;=N30)),"NIVEAU INVALIDE",IF(OR(Q30="",Q30&lt;1,Q30&gt;20),"JET REQUIS / INVALIDE","OK"))))</x:f>
      </x:c>
    </x:row>
    <x:row r="31" ht="26" customHeight="1">
      <x:c r="A31" t="str">
        <x:v>Thaïs</x:v>
      </x:c>
      <x:c r="B31" s="78" t="str">
        <x:v>Anneau de stockage de sorts</x:v>
      </x:c>
      <x:c r="C31" t="str">
        <x:v>Achat</x:v>
      </x:c>
      <x:c r="D31" t="n">
        <x:v>3</x:v>
      </x:c>
      <x:c r="E31" t="str">
        <x:v>Rare</x:v>
      </x:c>
      <x:c r="F31" t="str">
        <x:v>dnd beyond</x:v>
      </x:c>
      <x:c r="G31" s="60"/>
      <x:c r="H31" s="80" t="n">
        <x:v>4312</x:v>
      </x:c>
      <x:c r="I31" t="str">
        <x:v>Oui, si pas trouvé bracers</x:v>
      </x:c>
      <x:c r="J31"/>
      <x:c r="K31" s="76" t="str"/>
      <x:c r="L31" t="str">
        <x:v>Thaïs!A55:I55</x:v>
      </x:c>
      <x:c r="M31" s="187"/>
      <x:c r="N31" s="187"/>
      <x:c r="O31" s="187"/>
      <x:c r="P31" s="191" t="str">
        <x:f>IF(OR(M31="",N31="",AND(ISNUMBER(O31),O31&gt;=N31)),"",ROUND('02 - Barème'!$B$3*(N31^2-IF(O31="",0,O31)^2)*IF(M31="Arme",1,IF(M31="Armure/bouclier",'02 - Barème'!$B$4,'02 - Barème'!$B$5)),0))</x:f>
      </x:c>
      <x:c r="Q31" s="187"/>
      <x:c r="R31" s="192" t="str">
        <x:f>IF(OR(P31="",T31&lt;&gt;"OK"),"",ROUND(P31*MIN(1,('09 - Plafonds et aleas'!$B$9+'09 - Plafonds et aleas'!$B$10*Q31)/100),0))</x:f>
      </x:c>
      <x:c r="S31" t="str">
        <x:f>IF(T31&lt;&gt;"OK","",IF(('09 - Plafonds et aleas'!$B$9+'09 - Plafonds et aleas'!$B$10*Q31)&lt;=100,"Aucun",IF(Q31&lt;=17,"Matériau / service",IF(Q31&lt;=19,"Incident à résoudre","Quête majeure"))))</x:f>
      </x:c>
      <x:c r="T31" t="str">
        <x:f>IF(AND(M31="",N31="",Q31=""),"",IF(OR(M31="",N31=""),"N ET CATÉGORIE REQUIS",IF(OR(N31&lt;=0,AND(ISNUMBER(O31),O31&gt;=N31)),"NIVEAU INVALIDE",IF(OR(Q31="",Q31&lt;1,Q31&gt;20),"JET REQUIS / INVALIDE","OK"))))</x:f>
      </x:c>
    </x:row>
    <x:row r="32" ht="26" customHeight="1">
      <x:c r="A32" t="str">
        <x:v>Thaïs</x:v>
      </x:c>
      <x:c r="B32" s="78" t="str">
        <x:v>Upgrade rod of the pact keeper</x:v>
      </x:c>
      <x:c r="C32" t="str">
        <x:v>Forge</x:v>
      </x:c>
      <x:c r="D32" t="n">
        <x:v>4</x:v>
      </x:c>
      <x:c r="E32" t="str">
        <x:v>Peu commun-&gt;très rare</x:v>
      </x:c>
      <x:c r="F32"/>
      <x:c r="G32" s="60"/>
      <x:c r="H32" s="80"/>
      <x:c r="I32" t="str">
        <x:v>Oui</x:v>
      </x:c>
      <x:c r="J32"/>
      <x:c r="K32" s="76" t="str">
        <x:v>Mention MJ: 25-30K (19 000)</x:v>
      </x:c>
      <x:c r="L32" t="str">
        <x:v>Thaïs!A56:I56</x:v>
      </x:c>
      <x:c r="M32" s="187"/>
      <x:c r="N32" s="187"/>
      <x:c r="O32" s="187"/>
      <x:c r="P32" s="191" t="str">
        <x:f>IF(OR(M32="",N32="",AND(ISNUMBER(O32),O32&gt;=N32)),"",ROUND('02 - Barème'!$B$3*(N32^2-IF(O32="",0,O32)^2)*IF(M32="Arme",1,IF(M32="Armure/bouclier",'02 - Barème'!$B$4,'02 - Barème'!$B$5)),0))</x:f>
      </x:c>
      <x:c r="Q32" s="187"/>
      <x:c r="R32" s="192" t="str">
        <x:f>IF(OR(P32="",T32&lt;&gt;"OK"),"",ROUND(P32*MIN(1,('09 - Plafonds et aleas'!$B$9+'09 - Plafonds et aleas'!$B$10*Q32)/100),0))</x:f>
      </x:c>
      <x:c r="S32" t="str">
        <x:f>IF(T32&lt;&gt;"OK","",IF(('09 - Plafonds et aleas'!$B$9+'09 - Plafonds et aleas'!$B$10*Q32)&lt;=100,"Aucun",IF(Q32&lt;=17,"Matériau / service",IF(Q32&lt;=19,"Incident à résoudre","Quête majeure"))))</x:f>
      </x:c>
      <x:c r="T32" t="str">
        <x:f>IF(AND(M32="",N32="",Q32=""),"",IF(OR(M32="",N32=""),"N ET CATÉGORIE REQUIS",IF(OR(N32&lt;=0,AND(ISNUMBER(O32),O32&gt;=N32)),"NIVEAU INVALIDE",IF(OR(Q32="",Q32&lt;1,Q32&gt;20),"JET REQUIS / INVALIDE","OK"))))</x:f>
      </x:c>
    </x:row>
    <x:row r="33" ht="26" customHeight="1">
      <x:c r="A33" t="str">
        <x:v>Thaïs</x:v>
      </x:c>
      <x:c r="B33" s="78" t="str">
        <x:v>Enchanter armure de cuir cloutee +1 -&gt; +2, changepeau</x:v>
      </x:c>
      <x:c r="C33" t="str">
        <x:v>Forge</x:v>
      </x:c>
      <x:c r="D33" t="n">
        <x:v>5</x:v>
      </x:c>
      <x:c r="E33"/>
      <x:c r="F33"/>
      <x:c r="G33" s="60"/>
      <x:c r="H33" s="80"/>
      <x:c r="I33" t="str">
        <x:v>Oui</x:v>
      </x:c>
      <x:c r="J33"/>
      <x:c r="K33" s="76" t="str">
        <x:v>Mention MJ: 15K (+1 chagepeau 5 fois par jour =&gt; 2180 ), 14790 =&gt; passage de +1 a +2 et effet permanent</x:v>
      </x:c>
      <x:c r="L33" t="str">
        <x:v>Thaïs!A57:I57</x:v>
      </x:c>
      <x:c r="M33" s="187"/>
      <x:c r="N33" s="187"/>
      <x:c r="O33" s="187"/>
      <x:c r="P33" s="191" t="str">
        <x:f>IF(OR(M33="",N33="",AND(ISNUMBER(O33),O33&gt;=N33)),"",ROUND('02 - Barème'!$B$3*(N33^2-IF(O33="",0,O33)^2)*IF(M33="Arme",1,IF(M33="Armure/bouclier",'02 - Barème'!$B$4,'02 - Barème'!$B$5)),0))</x:f>
      </x:c>
      <x:c r="Q33" s="187"/>
      <x:c r="R33" s="192" t="str">
        <x:f>IF(OR(P33="",T33&lt;&gt;"OK"),"",ROUND(P33*MIN(1,('09 - Plafonds et aleas'!$B$9+'09 - Plafonds et aleas'!$B$10*Q33)/100),0))</x:f>
      </x:c>
      <x:c r="S33" t="str">
        <x:f>IF(T33&lt;&gt;"OK","",IF(('09 - Plafonds et aleas'!$B$9+'09 - Plafonds et aleas'!$B$10*Q33)&lt;=100,"Aucun",IF(Q33&lt;=17,"Matériau / service",IF(Q33&lt;=19,"Incident à résoudre","Quête majeure"))))</x:f>
      </x:c>
      <x:c r="T33" t="str">
        <x:f>IF(AND(M33="",N33="",Q33=""),"",IF(OR(M33="",N33=""),"N ET CATÉGORIE REQUIS",IF(OR(N33&lt;=0,AND(ISNUMBER(O33),O33&gt;=N33)),"NIVEAU INVALIDE",IF(OR(Q33="",Q33&lt;1,Q33&gt;20),"JET REQUIS / INVALIDE","OK"))))</x:f>
      </x:c>
    </x:row>
    <x:row r="34" ht="26" customHeight="1">
      <x:c r="A34" t="str">
        <x:v>Thaïs</x:v>
      </x:c>
      <x:c r="B34" s="78" t="str">
        <x:v>Bottes de gravité</x:v>
      </x:c>
      <x:c r="C34" t="str">
        <x:v>Achat</x:v>
      </x:c>
      <x:c r="D34" t="n">
        <x:v>6</x:v>
      </x:c>
      <x:c r="E34" t="str">
        <x:v>? </x:v>
      </x:c>
      <x:c r="F34" t="str">
        <x:v>Gemmaline</x:v>
      </x:c>
      <x:c r="G34" s="60" t="n">
        <x:v>50400</x:v>
      </x:c>
      <x:c r="H34" s="80"/>
      <x:c r="I34" t="str">
        <x:v>Oui</x:v>
      </x:c>
      <x:c r="J34"/>
      <x:c r="K34" s="76" t="str">
        <x:v>Lien source: ?</x:v>
      </x:c>
      <x:c r="L34" t="str">
        <x:v>Thaïs!A58:I58</x:v>
      </x:c>
      <x:c r="M34" s="187"/>
      <x:c r="N34" s="187"/>
      <x:c r="O34" s="187"/>
      <x:c r="P34" s="191" t="str">
        <x:f>IF(OR(M34="",N34="",AND(ISNUMBER(O34),O34&gt;=N34)),"",ROUND('02 - Barème'!$B$3*(N34^2-IF(O34="",0,O34)^2)*IF(M34="Arme",1,IF(M34="Armure/bouclier",'02 - Barème'!$B$4,'02 - Barème'!$B$5)),0))</x:f>
      </x:c>
      <x:c r="Q34" s="187"/>
      <x:c r="R34" s="192" t="str">
        <x:f>IF(OR(P34="",T34&lt;&gt;"OK"),"",ROUND(P34*MIN(1,('09 - Plafonds et aleas'!$B$9+'09 - Plafonds et aleas'!$B$10*Q34)/100),0))</x:f>
      </x:c>
      <x:c r="S34" t="str">
        <x:f>IF(T34&lt;&gt;"OK","",IF(('09 - Plafonds et aleas'!$B$9+'09 - Plafonds et aleas'!$B$10*Q34)&lt;=100,"Aucun",IF(Q34&lt;=17,"Matériau / service",IF(Q34&lt;=19,"Incident à résoudre","Quête majeure"))))</x:f>
      </x:c>
      <x:c r="T34" t="str">
        <x:f>IF(AND(M34="",N34="",Q34=""),"",IF(OR(M34="",N34=""),"N ET CATÉGORIE REQUIS",IF(OR(N34&lt;=0,AND(ISNUMBER(O34),O34&gt;=N34)),"NIVEAU INVALIDE",IF(OR(Q34="",Q34&lt;1,Q34&gt;20),"JET REQUIS / INVALIDE","OK"))))</x:f>
      </x:c>
    </x:row>
    <x:row r="35" ht="26" customHeight="1">
      <x:c r="A35" t="str">
        <x:v>Thaïs</x:v>
      </x:c>
      <x:c r="B35" s="78" t="str">
        <x:v>Anneau du mage de combat</x:v>
      </x:c>
      <x:c r="C35" t="str">
        <x:v>Achat</x:v>
      </x:c>
      <x:c r="D35" t="n">
        <x:v>7</x:v>
      </x:c>
      <x:c r="E35" t="str">
        <x:v>? </x:v>
      </x:c>
      <x:c r="F35" t="str">
        <x:v>Gemmaline</x:v>
      </x:c>
      <x:c r="G35" s="60" t="n">
        <x:v>12000</x:v>
      </x:c>
      <x:c r="H35" s="80"/>
      <x:c r="I35" t="str">
        <x:v>Oui</x:v>
      </x:c>
      <x:c r="J35"/>
      <x:c r="K35" s="76" t="str">
        <x:v>Lien source: ?</x:v>
      </x:c>
      <x:c r="L35" t="str">
        <x:v>Thaïs!A59:I59</x:v>
      </x:c>
      <x:c r="M35" s="187"/>
      <x:c r="N35" s="187"/>
      <x:c r="O35" s="187"/>
      <x:c r="P35" s="191" t="str">
        <x:f>IF(OR(M35="",N35="",AND(ISNUMBER(O35),O35&gt;=N35)),"",ROUND('02 - Barème'!$B$3*(N35^2-IF(O35="",0,O35)^2)*IF(M35="Arme",1,IF(M35="Armure/bouclier",'02 - Barème'!$B$4,'02 - Barème'!$B$5)),0))</x:f>
      </x:c>
      <x:c r="Q35" s="187"/>
      <x:c r="R35" s="192" t="str">
        <x:f>IF(OR(P35="",T35&lt;&gt;"OK"),"",ROUND(P35*MIN(1,('09 - Plafonds et aleas'!$B$9+'09 - Plafonds et aleas'!$B$10*Q35)/100),0))</x:f>
      </x:c>
      <x:c r="S35" t="str">
        <x:f>IF(T35&lt;&gt;"OK","",IF(('09 - Plafonds et aleas'!$B$9+'09 - Plafonds et aleas'!$B$10*Q35)&lt;=100,"Aucun",IF(Q35&lt;=17,"Matériau / service",IF(Q35&lt;=19,"Incident à résoudre","Quête majeure"))))</x:f>
      </x:c>
      <x:c r="T35" t="str">
        <x:f>IF(AND(M35="",N35="",Q35=""),"",IF(OR(M35="",N35=""),"N ET CATÉGORIE REQUIS",IF(OR(N35&lt;=0,AND(ISNUMBER(O35),O35&gt;=N35)),"NIVEAU INVALIDE",IF(OR(Q35="",Q35&lt;1,Q35&gt;20),"JET REQUIS / INVALIDE","OK"))))</x:f>
      </x:c>
    </x:row>
    <x:row r="36" ht="26" customHeight="1">
      <x:c r="A36" t="str">
        <x:v>Thaïs</x:v>
      </x:c>
      <x:c r="B36" s="78" t="str">
        <x:v>Cloak of arachnida</x:v>
      </x:c>
      <x:c r="C36" t="str">
        <x:v>Achat</x:v>
      </x:c>
      <x:c r="D36" t="n">
        <x:v>8</x:v>
      </x:c>
      <x:c r="E36" t="str">
        <x:v>Très rare</x:v>
      </x:c>
      <x:c r="F36" t="str">
        <x:v>Aidedd</x:v>
      </x:c>
      <x:c r="G36" s="60"/>
      <x:c r="H36" s="80"/>
      <x:c r="I36" t="str">
        <x:v>Oui, si lien possible</x:v>
      </x:c>
      <x:c r="J36"/>
      <x:c r="K36" s="76" t="str"/>
      <x:c r="L36" t="str">
        <x:v>Thaïs!A60:I60</x:v>
      </x:c>
      <x:c r="M36" s="187"/>
      <x:c r="N36" s="187"/>
      <x:c r="O36" s="187"/>
      <x:c r="P36" s="191" t="str">
        <x:f>IF(OR(M36="",N36="",AND(ISNUMBER(O36),O36&gt;=N36)),"",ROUND('02 - Barème'!$B$3*(N36^2-IF(O36="",0,O36)^2)*IF(M36="Arme",1,IF(M36="Armure/bouclier",'02 - Barème'!$B$4,'02 - Barème'!$B$5)),0))</x:f>
      </x:c>
      <x:c r="Q36" s="187"/>
      <x:c r="R36" s="192" t="str">
        <x:f>IF(OR(P36="",T36&lt;&gt;"OK"),"",ROUND(P36*MIN(1,('09 - Plafonds et aleas'!$B$9+'09 - Plafonds et aleas'!$B$10*Q36)/100),0))</x:f>
      </x:c>
      <x:c r="S36" t="str">
        <x:f>IF(T36&lt;&gt;"OK","",IF(('09 - Plafonds et aleas'!$B$9+'09 - Plafonds et aleas'!$B$10*Q36)&lt;=100,"Aucun",IF(Q36&lt;=17,"Matériau / service",IF(Q36&lt;=19,"Incident à résoudre","Quête majeure"))))</x:f>
      </x:c>
      <x:c r="T36" t="str">
        <x:f>IF(AND(M36="",N36="",Q36=""),"",IF(OR(M36="",N36=""),"N ET CATÉGORIE REQUIS",IF(OR(N36&lt;=0,AND(ISNUMBER(O36),O36&gt;=N36)),"NIVEAU INVALIDE",IF(OR(Q36="",Q36&lt;1,Q36&gt;20),"JET REQUIS / INVALIDE","OK"))))</x:f>
      </x:c>
    </x:row>
    <x:row r="37" ht="26" customHeight="1">
      <x:c r="A37" t="str">
        <x:v>Thaïs</x:v>
      </x:c>
      <x:c r="B37" s="78" t="str">
        <x:v>Cloak of Many Fashions</x:v>
      </x:c>
      <x:c r="C37" t="str">
        <x:v>Achat</x:v>
      </x:c>
      <x:c r="D37"/>
      <x:c r="E37" t="str">
        <x:v>Commun</x:v>
      </x:c>
      <x:c r="F37" t="str">
        <x:v>Xanathar</x:v>
      </x:c>
      <x:c r="G37" s="60"/>
      <x:c r="H37" s="80"/>
      <x:c r="I37" t="str">
        <x:v>Oui, si pas autre cape</x:v>
      </x:c>
      <x:c r="J37"/>
      <x:c r="K37" s="76" t="str"/>
      <x:c r="L37" t="str">
        <x:v>Thaïs!A61:I61</x:v>
      </x:c>
      <x:c r="M37" s="187"/>
      <x:c r="N37" s="187"/>
      <x:c r="O37" s="187"/>
      <x:c r="P37" s="191" t="str">
        <x:f>IF(OR(M37="",N37="",AND(ISNUMBER(O37),O37&gt;=N37)),"",ROUND('02 - Barème'!$B$3*(N37^2-IF(O37="",0,O37)^2)*IF(M37="Arme",1,IF(M37="Armure/bouclier",'02 - Barème'!$B$4,'02 - Barème'!$B$5)),0))</x:f>
      </x:c>
      <x:c r="Q37" s="187"/>
      <x:c r="R37" s="192" t="str">
        <x:f>IF(OR(P37="",T37&lt;&gt;"OK"),"",ROUND(P37*MIN(1,('09 - Plafonds et aleas'!$B$9+'09 - Plafonds et aleas'!$B$10*Q37)/100),0))</x:f>
      </x:c>
      <x:c r="S37" t="str">
        <x:f>IF(T37&lt;&gt;"OK","",IF(('09 - Plafonds et aleas'!$B$9+'09 - Plafonds et aleas'!$B$10*Q37)&lt;=100,"Aucun",IF(Q37&lt;=17,"Matériau / service",IF(Q37&lt;=19,"Incident à résoudre","Quête majeure"))))</x:f>
      </x:c>
      <x:c r="T37" t="str">
        <x:f>IF(AND(M37="",N37="",Q37=""),"",IF(OR(M37="",N37=""),"N ET CATÉGORIE REQUIS",IF(OR(N37&lt;=0,AND(ISNUMBER(O37),O37&gt;=N37)),"NIVEAU INVALIDE",IF(OR(Q37="",Q37&lt;1,Q37&gt;20),"JET REQUIS / INVALIDE","OK"))))</x:f>
      </x:c>
    </x:row>
    <x:row r="38" ht="26" customHeight="1">
      <x:c r="A38" t="str">
        <x:v>Thaïs</x:v>
      </x:c>
      <x:c r="B38" s="78" t="str">
        <x:v>Tankard of sobriety</x:v>
      </x:c>
      <x:c r="C38" t="str">
        <x:v>Achat</x:v>
      </x:c>
      <x:c r="D38"/>
      <x:c r="E38" t="str">
        <x:v>Commun</x:v>
      </x:c>
      <x:c r="F38" t="str">
        <x:v>Xanathar </x:v>
      </x:c>
      <x:c r="G38" s="60"/>
      <x:c r="H38" s="80"/>
      <x:c r="I38" t="str">
        <x:v>Oui</x:v>
      </x:c>
      <x:c r="J38"/>
      <x:c r="K38" s="76" t="str"/>
      <x:c r="L38" t="str">
        <x:v>Thaïs!A62:I62</x:v>
      </x:c>
      <x:c r="M38" s="187"/>
      <x:c r="N38" s="187"/>
      <x:c r="O38" s="187"/>
      <x:c r="P38" s="191" t="str">
        <x:f>IF(OR(M38="",N38="",AND(ISNUMBER(O38),O38&gt;=N38)),"",ROUND('02 - Barème'!$B$3*(N38^2-IF(O38="",0,O38)^2)*IF(M38="Arme",1,IF(M38="Armure/bouclier",'02 - Barème'!$B$4,'02 - Barème'!$B$5)),0))</x:f>
      </x:c>
      <x:c r="Q38" s="187"/>
      <x:c r="R38" s="192" t="str">
        <x:f>IF(OR(P38="",T38&lt;&gt;"OK"),"",ROUND(P38*MIN(1,('09 - Plafonds et aleas'!$B$9+'09 - Plafonds et aleas'!$B$10*Q38)/100),0))</x:f>
      </x:c>
      <x:c r="S38" t="str">
        <x:f>IF(T38&lt;&gt;"OK","",IF(('09 - Plafonds et aleas'!$B$9+'09 - Plafonds et aleas'!$B$10*Q38)&lt;=100,"Aucun",IF(Q38&lt;=17,"Matériau / service",IF(Q38&lt;=19,"Incident à résoudre","Quête majeure"))))</x:f>
      </x:c>
      <x:c r="T38" t="str">
        <x:f>IF(AND(M38="",N38="",Q38=""),"",IF(OR(M38="",N38=""),"N ET CATÉGORIE REQUIS",IF(OR(N38&lt;=0,AND(ISNUMBER(O38),O38&gt;=N38)),"NIVEAU INVALIDE",IF(OR(Q38="",Q38&lt;1,Q38&gt;20),"JET REQUIS / INVALIDE","OK"))))</x:f>
      </x:c>
    </x:row>
    <x:row r="39" ht="26" customHeight="1">
      <x:c r="A39" t="str">
        <x:v>Thaïs</x:v>
      </x:c>
      <x:c r="B39" s="78" t="str">
        <x:v>Cleansing stone</x:v>
      </x:c>
      <x:c r="C39" t="str">
        <x:v>Achat</x:v>
      </x:c>
      <x:c r="D39"/>
      <x:c r="E39" t="str">
        <x:v>Commun</x:v>
      </x:c>
      <x:c r="F39" t="str">
        <x:v>Aidedd</x:v>
      </x:c>
      <x:c r="G39" s="60"/>
      <x:c r="H39" s="80"/>
      <x:c r="I39" t="str">
        <x:v>Oui</x:v>
      </x:c>
      <x:c r="J39" t="str">
        <x:v>https://www.aidedd.org/en/intro/unearthed-arcana/magic-items-of-eberron/</x:v>
      </x:c>
      <x:c r="K39" s="76" t="str"/>
      <x:c r="L39" t="str">
        <x:v>Thaïs!A63:I63</x:v>
      </x:c>
      <x:c r="M39" s="187"/>
      <x:c r="N39" s="187"/>
      <x:c r="O39" s="187"/>
      <x:c r="P39" s="191" t="str">
        <x:f>IF(OR(M39="",N39="",AND(ISNUMBER(O39),O39&gt;=N39)),"",ROUND('02 - Barème'!$B$3*(N39^2-IF(O39="",0,O39)^2)*IF(M39="Arme",1,IF(M39="Armure/bouclier",'02 - Barème'!$B$4,'02 - Barème'!$B$5)),0))</x:f>
      </x:c>
      <x:c r="Q39" s="187"/>
      <x:c r="R39" s="192" t="str">
        <x:f>IF(OR(P39="",T39&lt;&gt;"OK"),"",ROUND(P39*MIN(1,('09 - Plafonds et aleas'!$B$9+'09 - Plafonds et aleas'!$B$10*Q39)/100),0))</x:f>
      </x:c>
      <x:c r="S39" t="str">
        <x:f>IF(T39&lt;&gt;"OK","",IF(('09 - Plafonds et aleas'!$B$9+'09 - Plafonds et aleas'!$B$10*Q39)&lt;=100,"Aucun",IF(Q39&lt;=17,"Matériau / service",IF(Q39&lt;=19,"Incident à résoudre","Quête majeure"))))</x:f>
      </x:c>
      <x:c r="T39" t="str">
        <x:f>IF(AND(M39="",N39="",Q39=""),"",IF(OR(M39="",N39=""),"N ET CATÉGORIE REQUIS",IF(OR(N39&lt;=0,AND(ISNUMBER(O39),O39&gt;=N39)),"NIVEAU INVALIDE",IF(OR(Q39="",Q39&lt;1,Q39&gt;20),"JET REQUIS / INVALIDE","OK"))))</x:f>
      </x:c>
    </x:row>
    <x:row r="40" ht="26" customHeight="1">
      <x:c r="A40" t="str">
        <x:v>Thaïs</x:v>
      </x:c>
      <x:c r="B40" s="78" t="str">
        <x:v>Feather token</x:v>
      </x:c>
      <x:c r="C40" t="str">
        <x:v>Achat</x:v>
      </x:c>
      <x:c r="D40"/>
      <x:c r="E40" t="str">
        <x:v>Commun</x:v>
      </x:c>
      <x:c r="F40" t="str">
        <x:v>Aidedd</x:v>
      </x:c>
      <x:c r="G40" s="60"/>
      <x:c r="H40" s="80"/>
      <x:c r="I40" t="str">
        <x:v>Oui</x:v>
      </x:c>
      <x:c r="J40" t="str">
        <x:v>https://www.aidedd.org/en/intro/unearthed-arcana/magic-items-of-eberron/</x:v>
      </x:c>
      <x:c r="K40" s="76" t="str"/>
      <x:c r="L40" t="str">
        <x:v>Thaïs!A64:I64</x:v>
      </x:c>
      <x:c r="M40" s="187"/>
      <x:c r="N40" s="187"/>
      <x:c r="O40" s="187"/>
      <x:c r="P40" s="191" t="str">
        <x:f>IF(OR(M40="",N40="",AND(ISNUMBER(O40),O40&gt;=N40)),"",ROUND('02 - Barème'!$B$3*(N40^2-IF(O40="",0,O40)^2)*IF(M40="Arme",1,IF(M40="Armure/bouclier",'02 - Barème'!$B$4,'02 - Barème'!$B$5)),0))</x:f>
      </x:c>
      <x:c r="Q40" s="187"/>
      <x:c r="R40" s="192" t="str">
        <x:f>IF(OR(P40="",T40&lt;&gt;"OK"),"",ROUND(P40*MIN(1,('09 - Plafonds et aleas'!$B$9+'09 - Plafonds et aleas'!$B$10*Q40)/100),0))</x:f>
      </x:c>
      <x:c r="S40" t="str">
        <x:f>IF(T40&lt;&gt;"OK","",IF(('09 - Plafonds et aleas'!$B$9+'09 - Plafonds et aleas'!$B$10*Q40)&lt;=100,"Aucun",IF(Q40&lt;=17,"Matériau / service",IF(Q40&lt;=19,"Incident à résoudre","Quête majeure"))))</x:f>
      </x:c>
      <x:c r="T40" t="str">
        <x:f>IF(AND(M40="",N40="",Q40=""),"",IF(OR(M40="",N40=""),"N ET CATÉGORIE REQUIS",IF(OR(N40&lt;=0,AND(ISNUMBER(O40),O40&gt;=N40)),"NIVEAU INVALIDE",IF(OR(Q40="",Q40&lt;1,Q40&gt;20),"JET REQUIS / INVALIDE","OK"))))</x:f>
      </x:c>
    </x:row>
    <x:row r="41" ht="26" customHeight="1">
      <x:c r="A41" t="str">
        <x:v>Thaïs</x:v>
      </x:c>
      <x:c r="B41" s="78" t="str">
        <x:v>Spellshard</x:v>
      </x:c>
      <x:c r="C41" t="str">
        <x:v>Achat</x:v>
      </x:c>
      <x:c r="D41"/>
      <x:c r="E41" t="str">
        <x:v>Commun</x:v>
      </x:c>
      <x:c r="F41" t="str">
        <x:v>Aidedd</x:v>
      </x:c>
      <x:c r="G41" s="60"/>
      <x:c r="H41" s="80"/>
      <x:c r="I41" t="str">
        <x:v>Oui</x:v>
      </x:c>
      <x:c r="J41" t="str">
        <x:v>https://www.aidedd.org/en/intro/unearthed-arcana/magic-items-of-eberron/</x:v>
      </x:c>
      <x:c r="K41" s="76" t="str"/>
      <x:c r="L41" t="str">
        <x:v>Thaïs!A65:I65</x:v>
      </x:c>
      <x:c r="M41" s="187"/>
      <x:c r="N41" s="187"/>
      <x:c r="O41" s="187"/>
      <x:c r="P41" s="191" t="str">
        <x:f>IF(OR(M41="",N41="",AND(ISNUMBER(O41),O41&gt;=N41)),"",ROUND('02 - Barème'!$B$3*(N41^2-IF(O41="",0,O41)^2)*IF(M41="Arme",1,IF(M41="Armure/bouclier",'02 - Barème'!$B$4,'02 - Barème'!$B$5)),0))</x:f>
      </x:c>
      <x:c r="Q41" s="187"/>
      <x:c r="R41" s="192" t="str">
        <x:f>IF(OR(P41="",T41&lt;&gt;"OK"),"",ROUND(P41*MIN(1,('09 - Plafonds et aleas'!$B$9+'09 - Plafonds et aleas'!$B$10*Q41)/100),0))</x:f>
      </x:c>
      <x:c r="S41" t="str">
        <x:f>IF(T41&lt;&gt;"OK","",IF(('09 - Plafonds et aleas'!$B$9+'09 - Plafonds et aleas'!$B$10*Q41)&lt;=100,"Aucun",IF(Q41&lt;=17,"Matériau / service",IF(Q41&lt;=19,"Incident à résoudre","Quête majeure"))))</x:f>
      </x:c>
      <x:c r="T41" t="str">
        <x:f>IF(AND(M41="",N41="",Q41=""),"",IF(OR(M41="",N41=""),"N ET CATÉGORIE REQUIS",IF(OR(N41&lt;=0,AND(ISNUMBER(O41),O41&gt;=N41)),"NIVEAU INVALIDE",IF(OR(Q41="",Q41&lt;1,Q41&gt;20),"JET REQUIS / INVALIDE","OK"))))</x:f>
      </x:c>
    </x:row>
    <x:row r="42" ht="26" customHeight="1">
      <x:c r="A42" t="str">
        <x:v>Thaïs</x:v>
      </x:c>
      <x:c r="B42" s="78" t="str">
        <x:v>Tome of Leadership and Influence</x:v>
      </x:c>
      <x:c r="C42" t="str">
        <x:v>Achat</x:v>
      </x:c>
      <x:c r="D42"/>
      <x:c r="E42" t="str">
        <x:v>Très rare</x:v>
      </x:c>
      <x:c r="F42" t="str">
        <x:v>Aidedd</x:v>
      </x:c>
      <x:c r="G42" s="60"/>
      <x:c r="H42" s="80"/>
      <x:c r="I42" t="str">
        <x:v>Non précisé</x:v>
      </x:c>
      <x:c r="J42"/>
      <x:c r="K42" s="76" t="str">
        <x:v>Mention MJ: PAS POUR LE MOMENT</x:v>
      </x:c>
      <x:c r="L42" t="str">
        <x:v>Thaïs!A66:I66</x:v>
      </x:c>
      <x:c r="M42" s="187"/>
      <x:c r="N42" s="187"/>
      <x:c r="O42" s="187"/>
      <x:c r="P42" s="191" t="str">
        <x:f>IF(OR(M42="",N42="",AND(ISNUMBER(O42),O42&gt;=N42)),"",ROUND('02 - Barème'!$B$3*(N42^2-IF(O42="",0,O42)^2)*IF(M42="Arme",1,IF(M42="Armure/bouclier",'02 - Barème'!$B$4,'02 - Barème'!$B$5)),0))</x:f>
      </x:c>
      <x:c r="Q42" s="187"/>
      <x:c r="R42" s="192" t="str">
        <x:f>IF(OR(P42="",T42&lt;&gt;"OK"),"",ROUND(P42*MIN(1,('09 - Plafonds et aleas'!$B$9+'09 - Plafonds et aleas'!$B$10*Q42)/100),0))</x:f>
      </x:c>
      <x:c r="S42" t="str">
        <x:f>IF(T42&lt;&gt;"OK","",IF(('09 - Plafonds et aleas'!$B$9+'09 - Plafonds et aleas'!$B$10*Q42)&lt;=100,"Aucun",IF(Q42&lt;=17,"Matériau / service",IF(Q42&lt;=19,"Incident à résoudre","Quête majeure"))))</x:f>
      </x:c>
      <x:c r="T42" t="str">
        <x:f>IF(AND(M42="",N42="",Q42=""),"",IF(OR(M42="",N42=""),"N ET CATÉGORIE REQUIS",IF(OR(N42&lt;=0,AND(ISNUMBER(O42),O42&gt;=N42)),"NIVEAU INVALIDE",IF(OR(Q42="",Q42&lt;1,Q42&gt;20),"JET REQUIS / INVALIDE","OK"))))</x:f>
      </x:c>
    </x:row>
    <x:row r="43" ht="26" customHeight="1">
      <x:c r="A43" t="str">
        <x:v>Thaïs</x:v>
      </x:c>
      <x:c r="B43" s="78" t="str">
        <x:v>Enchanter armure -&gt; clignotement</x:v>
      </x:c>
      <x:c r="C43" t="str">
        <x:v>Forge</x:v>
      </x:c>
      <x:c r="D43"/>
      <x:c r="E43" t="str">
        <x:v>? </x:v>
      </x:c>
      <x:c r="F43" t="str">
        <x:v>Gemmaline</x:v>
      </x:c>
      <x:c r="G43" s="60"/>
      <x:c r="H43" s="80"/>
      <x:c r="I43" t="str">
        <x:v>Non précisé</x:v>
      </x:c>
      <x:c r="J43"/>
      <x:c r="K43" s="76" t="str">
        <x:v>Prix Gemmaline brut: plus 15 000</x:v>
      </x:c>
      <x:c r="L43" t="str">
        <x:v>Thaïs!A67:I67</x:v>
      </x:c>
      <x:c r="M43" s="187"/>
      <x:c r="N43" s="187"/>
      <x:c r="O43" s="187"/>
      <x:c r="P43" s="191" t="str">
        <x:f>IF(OR(M43="",N43="",AND(ISNUMBER(O43),O43&gt;=N43)),"",ROUND('02 - Barème'!$B$3*(N43^2-IF(O43="",0,O43)^2)*IF(M43="Arme",1,IF(M43="Armure/bouclier",'02 - Barème'!$B$4,'02 - Barème'!$B$5)),0))</x:f>
      </x:c>
      <x:c r="Q43" s="187"/>
      <x:c r="R43" s="192" t="str">
        <x:f>IF(OR(P43="",T43&lt;&gt;"OK"),"",ROUND(P43*MIN(1,('09 - Plafonds et aleas'!$B$9+'09 - Plafonds et aleas'!$B$10*Q43)/100),0))</x:f>
      </x:c>
      <x:c r="S43" t="str">
        <x:f>IF(T43&lt;&gt;"OK","",IF(('09 - Plafonds et aleas'!$B$9+'09 - Plafonds et aleas'!$B$10*Q43)&lt;=100,"Aucun",IF(Q43&lt;=17,"Matériau / service",IF(Q43&lt;=19,"Incident à résoudre","Quête majeure"))))</x:f>
      </x:c>
      <x:c r="T43" t="str">
        <x:f>IF(AND(M43="",N43="",Q43=""),"",IF(OR(M43="",N43=""),"N ET CATÉGORIE REQUIS",IF(OR(N43&lt;=0,AND(ISNUMBER(O43),O43&gt;=N43)),"NIVEAU INVALIDE",IF(OR(Q43="",Q43&lt;1,Q43&gt;20),"JET REQUIS / INVALIDE","OK"))))</x:f>
      </x:c>
    </x:row>
    <x:row r="44" ht="26" customHeight="1">
      <x:c r="A44" t="str">
        <x:v>Thaïs</x:v>
      </x:c>
      <x:c r="B44" s="78" t="str">
        <x:v>Cape of the Mountebank</x:v>
      </x:c>
      <x:c r="C44" t="str">
        <x:v>Achat</x:v>
      </x:c>
      <x:c r="D44"/>
      <x:c r="E44" t="str">
        <x:v>Rare</x:v>
      </x:c>
      <x:c r="F44" t="str">
        <x:v>Livre dm</x:v>
      </x:c>
      <x:c r="G44" s="60"/>
      <x:c r="H44" s="80"/>
      <x:c r="I44" t="str">
        <x:v>Non précisé</x:v>
      </x:c>
      <x:c r="J44"/>
      <x:c r="K44" s="76" t="str">
        <x:v>Mention MJ: 5K max</x:v>
      </x:c>
      <x:c r="L44" t="str">
        <x:v>Thaïs!A68:I68</x:v>
      </x:c>
      <x:c r="M44" s="187"/>
      <x:c r="N44" s="187"/>
      <x:c r="O44" s="187"/>
      <x:c r="P44" s="191" t="str">
        <x:f>IF(OR(M44="",N44="",AND(ISNUMBER(O44),O44&gt;=N44)),"",ROUND('02 - Barème'!$B$3*(N44^2-IF(O44="",0,O44)^2)*IF(M44="Arme",1,IF(M44="Armure/bouclier",'02 - Barème'!$B$4,'02 - Barème'!$B$5)),0))</x:f>
      </x:c>
      <x:c r="Q44" s="187"/>
      <x:c r="R44" s="192" t="str">
        <x:f>IF(OR(P44="",T44&lt;&gt;"OK"),"",ROUND(P44*MIN(1,('09 - Plafonds et aleas'!$B$9+'09 - Plafonds et aleas'!$B$10*Q44)/100),0))</x:f>
      </x:c>
      <x:c r="S44" t="str">
        <x:f>IF(T44&lt;&gt;"OK","",IF(('09 - Plafonds et aleas'!$B$9+'09 - Plafonds et aleas'!$B$10*Q44)&lt;=100,"Aucun",IF(Q44&lt;=17,"Matériau / service",IF(Q44&lt;=19,"Incident à résoudre","Quête majeure"))))</x:f>
      </x:c>
      <x:c r="T44" t="str">
        <x:f>IF(AND(M44="",N44="",Q44=""),"",IF(OR(M44="",N44=""),"N ET CATÉGORIE REQUIS",IF(OR(N44&lt;=0,AND(ISNUMBER(O44),O44&gt;=N44)),"NIVEAU INVALIDE",IF(OR(Q44="",Q44&lt;1,Q44&gt;20),"JET REQUIS / INVALIDE","OK"))))</x:f>
      </x:c>
    </x:row>
    <x:row r="45" ht="26" customHeight="1">
      <x:c r="A45" t="str">
        <x:v>Thaïs</x:v>
      </x:c>
      <x:c r="B45" s="78" t="str">
        <x:v>Manual of bodily health</x:v>
      </x:c>
      <x:c r="C45" t="str">
        <x:v>Achat</x:v>
      </x:c>
      <x:c r="D45"/>
      <x:c r="E45" t="str">
        <x:v>Très rare</x:v>
      </x:c>
      <x:c r="F45"/>
      <x:c r="G45" s="60"/>
      <x:c r="H45" s="80"/>
      <x:c r="I45" t="str">
        <x:v>Non précisé</x:v>
      </x:c>
      <x:c r="J45"/>
      <x:c r="K45" s="76" t="str">
        <x:v>Mention MJ: PAS POUR LE MOMENT</x:v>
      </x:c>
      <x:c r="L45" t="str">
        <x:v>Thaïs!A69:I69</x:v>
      </x:c>
      <x:c r="M45" s="187"/>
      <x:c r="N45" s="187"/>
      <x:c r="O45" s="187"/>
      <x:c r="P45" s="191" t="str">
        <x:f>IF(OR(M45="",N45="",AND(ISNUMBER(O45),O45&gt;=N45)),"",ROUND('02 - Barème'!$B$3*(N45^2-IF(O45="",0,O45)^2)*IF(M45="Arme",1,IF(M45="Armure/bouclier",'02 - Barème'!$B$4,'02 - Barème'!$B$5)),0))</x:f>
      </x:c>
      <x:c r="Q45" s="187"/>
      <x:c r="R45" s="192" t="str">
        <x:f>IF(OR(P45="",T45&lt;&gt;"OK"),"",ROUND(P45*MIN(1,('09 - Plafonds et aleas'!$B$9+'09 - Plafonds et aleas'!$B$10*Q45)/100),0))</x:f>
      </x:c>
      <x:c r="S45" t="str">
        <x:f>IF(T45&lt;&gt;"OK","",IF(('09 - Plafonds et aleas'!$B$9+'09 - Plafonds et aleas'!$B$10*Q45)&lt;=100,"Aucun",IF(Q45&lt;=17,"Matériau / service",IF(Q45&lt;=19,"Incident à résoudre","Quête majeure"))))</x:f>
      </x:c>
      <x:c r="T45" t="str">
        <x:f>IF(AND(M45="",N45="",Q45=""),"",IF(OR(M45="",N45=""),"N ET CATÉGORIE REQUIS",IF(OR(N45&lt;=0,AND(ISNUMBER(O45),O45&gt;=N45)),"NIVEAU INVALIDE",IF(OR(Q45="",Q45&lt;1,Q45&gt;20),"JET REQUIS / INVALIDE","OK"))))</x:f>
      </x:c>
    </x:row>
    <x:row r="46" ht="26" customHeight="1">
      <x:c r="A46" t="str">
        <x:v>Thaïs</x:v>
      </x:c>
      <x:c r="B46" s="78" t="str">
        <x:v>Chaussons de l'araignée</x:v>
      </x:c>
      <x:c r="C46" t="str">
        <x:v>Achat</x:v>
      </x:c>
      <x:c r="D46"/>
      <x:c r="E46" t="str">
        <x:v>Peu commun </x:v>
      </x:c>
      <x:c r="F46"/>
      <x:c r="G46" s="60"/>
      <x:c r="H46" s="80"/>
      <x:c r="I46" t="str">
        <x:v>Non précisé</x:v>
      </x:c>
      <x:c r="J46"/>
      <x:c r="K46" s="76" t="str"/>
      <x:c r="L46" t="str">
        <x:v>Thaïs!A70:I70</x:v>
      </x:c>
      <x:c r="M46" s="187"/>
      <x:c r="N46" s="187"/>
      <x:c r="O46" s="187"/>
      <x:c r="P46" s="191" t="str">
        <x:f>IF(OR(M46="",N46="",AND(ISNUMBER(O46),O46&gt;=N46)),"",ROUND('02 - Barème'!$B$3*(N46^2-IF(O46="",0,O46)^2)*IF(M46="Arme",1,IF(M46="Armure/bouclier",'02 - Barème'!$B$4,'02 - Barème'!$B$5)),0))</x:f>
      </x:c>
      <x:c r="Q46" s="187"/>
      <x:c r="R46" s="192" t="str">
        <x:f>IF(OR(P46="",T46&lt;&gt;"OK"),"",ROUND(P46*MIN(1,('09 - Plafonds et aleas'!$B$9+'09 - Plafonds et aleas'!$B$10*Q46)/100),0))</x:f>
      </x:c>
      <x:c r="S46" t="str">
        <x:f>IF(T46&lt;&gt;"OK","",IF(('09 - Plafonds et aleas'!$B$9+'09 - Plafonds et aleas'!$B$10*Q46)&lt;=100,"Aucun",IF(Q46&lt;=17,"Matériau / service",IF(Q46&lt;=19,"Incident à résoudre","Quête majeure"))))</x:f>
      </x:c>
      <x:c r="T46" t="str">
        <x:f>IF(AND(M46="",N46="",Q46=""),"",IF(OR(M46="",N46=""),"N ET CATÉGORIE REQUIS",IF(OR(N46&lt;=0,AND(ISNUMBER(O46),O46&gt;=N46)),"NIVEAU INVALIDE",IF(OR(Q46="",Q46&lt;1,Q46&gt;20),"JET REQUIS / INVALIDE","OK"))))</x:f>
      </x:c>
    </x:row>
    <x:row r="47" ht="26" customHeight="1">
      <x:c r="A47" t="str">
        <x:v>Thaïs</x:v>
      </x:c>
      <x:c r="B47" s="78" t="str">
        <x:v>Bottes de pas latéral</x:v>
      </x:c>
      <x:c r="C47" t="str">
        <x:v>Achat</x:v>
      </x:c>
      <x:c r="D47"/>
      <x:c r="E47" t="str">
        <x:v>? </x:v>
      </x:c>
      <x:c r="F47" t="str">
        <x:v>Gemmaline</x:v>
      </x:c>
      <x:c r="G47" s="60" t="n">
        <x:v>3000</x:v>
      </x:c>
      <x:c r="H47" s="80"/>
      <x:c r="I47" t="str">
        <x:v>Non précisé</x:v>
      </x:c>
      <x:c r="J47"/>
      <x:c r="K47" s="76" t="str">
        <x:v>Lien source: ?</x:v>
      </x:c>
      <x:c r="L47" t="str">
        <x:v>Thaïs!A71:I71</x:v>
      </x:c>
      <x:c r="M47" s="187"/>
      <x:c r="N47" s="187"/>
      <x:c r="O47" s="187"/>
      <x:c r="P47" s="191" t="str">
        <x:f>IF(OR(M47="",N47="",AND(ISNUMBER(O47),O47&gt;=N47)),"",ROUND('02 - Barème'!$B$3*(N47^2-IF(O47="",0,O47)^2)*IF(M47="Arme",1,IF(M47="Armure/bouclier",'02 - Barème'!$B$4,'02 - Barème'!$B$5)),0))</x:f>
      </x:c>
      <x:c r="Q47" s="187"/>
      <x:c r="R47" s="192" t="str">
        <x:f>IF(OR(P47="",T47&lt;&gt;"OK"),"",ROUND(P47*MIN(1,('09 - Plafonds et aleas'!$B$9+'09 - Plafonds et aleas'!$B$10*Q47)/100),0))</x:f>
      </x:c>
      <x:c r="S47" t="str">
        <x:f>IF(T47&lt;&gt;"OK","",IF(('09 - Plafonds et aleas'!$B$9+'09 - Plafonds et aleas'!$B$10*Q47)&lt;=100,"Aucun",IF(Q47&lt;=17,"Matériau / service",IF(Q47&lt;=19,"Incident à résoudre","Quête majeure"))))</x:f>
      </x:c>
      <x:c r="T47" t="str">
        <x:f>IF(AND(M47="",N47="",Q47=""),"",IF(OR(M47="",N47=""),"N ET CATÉGORIE REQUIS",IF(OR(N47&lt;=0,AND(ISNUMBER(O47),O47&gt;=N47)),"NIVEAU INVALIDE",IF(OR(Q47="",Q47&lt;1,Q47&gt;20),"JET REQUIS / INVALIDE","OK"))))</x:f>
      </x:c>
    </x:row>
    <x:row r="48" ht="26" customHeight="1">
      <x:c r="A48" t="str">
        <x:v>Thaïs</x:v>
      </x:c>
      <x:c r="B48" s="78" t="str">
        <x:v>Gants d'incantation mortelle</x:v>
      </x:c>
      <x:c r="C48" t="str">
        <x:v>Achat</x:v>
      </x:c>
      <x:c r="D48"/>
      <x:c r="E48" t="str">
        <x:v>? </x:v>
      </x:c>
      <x:c r="F48" t="str">
        <x:v>Gemmaline</x:v>
      </x:c>
      <x:c r="G48" s="60" t="n">
        <x:v>14000</x:v>
      </x:c>
      <x:c r="H48" s="80"/>
      <x:c r="I48" t="str">
        <x:v>Non précisé</x:v>
      </x:c>
      <x:c r="J48"/>
      <x:c r="K48" s="76" t="str">
        <x:v>Mention MJ: NON | Lien source: ?</x:v>
      </x:c>
      <x:c r="L48" t="str">
        <x:v>Thaïs!A72:I72</x:v>
      </x:c>
      <x:c r="M48" s="187"/>
      <x:c r="N48" s="187"/>
      <x:c r="O48" s="187"/>
      <x:c r="P48" s="191" t="str">
        <x:f>IF(OR(M48="",N48="",AND(ISNUMBER(O48),O48&gt;=N48)),"",ROUND('02 - Barème'!$B$3*(N48^2-IF(O48="",0,O48)^2)*IF(M48="Arme",1,IF(M48="Armure/bouclier",'02 - Barème'!$B$4,'02 - Barème'!$B$5)),0))</x:f>
      </x:c>
      <x:c r="Q48" s="187"/>
      <x:c r="R48" s="192" t="str">
        <x:f>IF(OR(P48="",T48&lt;&gt;"OK"),"",ROUND(P48*MIN(1,('09 - Plafonds et aleas'!$B$9+'09 - Plafonds et aleas'!$B$10*Q48)/100),0))</x:f>
      </x:c>
      <x:c r="S48" t="str">
        <x:f>IF(T48&lt;&gt;"OK","",IF(('09 - Plafonds et aleas'!$B$9+'09 - Plafonds et aleas'!$B$10*Q48)&lt;=100,"Aucun",IF(Q48&lt;=17,"Matériau / service",IF(Q48&lt;=19,"Incident à résoudre","Quête majeure"))))</x:f>
      </x:c>
      <x:c r="T48" t="str">
        <x:f>IF(AND(M48="",N48="",Q48=""),"",IF(OR(M48="",N48=""),"N ET CATÉGORIE REQUIS",IF(OR(N48&lt;=0,AND(ISNUMBER(O48),O48&gt;=N48)),"NIVEAU INVALIDE",IF(OR(Q48="",Q48&lt;1,Q48&gt;20),"JET REQUIS / INVALIDE","OK"))))</x:f>
      </x:c>
    </x:row>
    <x:row r="49" ht="26" customHeight="1">
      <x:c r="A49" t="str">
        <x:v>Thaïs</x:v>
      </x:c>
      <x:c r="B49" s="78" t="str">
        <x:v>Enchanter armure -&gt; changepeau</x:v>
      </x:c>
      <x:c r="C49" t="str">
        <x:v>Forge</x:v>
      </x:c>
      <x:c r="D49"/>
      <x:c r="E49"/>
      <x:c r="F49" t="str">
        <x:v>Gemmaline</x:v>
      </x:c>
      <x:c r="G49" s="60"/>
      <x:c r="H49" s="80"/>
      <x:c r="I49" t="str">
        <x:v>Non précisé</x:v>
      </x:c>
      <x:c r="J49"/>
      <x:c r="K49" s="76" t="str">
        <x:v>Mention MJ: A priori, oui | Prix Gemmaline brut: 13 160 pour +1 | Lien source: ?</x:v>
      </x:c>
      <x:c r="L49" t="str">
        <x:v>Thaïs!A73:I73</x:v>
      </x:c>
      <x:c r="M49" s="187"/>
      <x:c r="N49" s="187"/>
      <x:c r="O49" s="187"/>
      <x:c r="P49" s="191" t="str">
        <x:f>IF(OR(M49="",N49="",AND(ISNUMBER(O49),O49&gt;=N49)),"",ROUND('02 - Barème'!$B$3*(N49^2-IF(O49="",0,O49)^2)*IF(M49="Arme",1,IF(M49="Armure/bouclier",'02 - Barème'!$B$4,'02 - Barème'!$B$5)),0))</x:f>
      </x:c>
      <x:c r="Q49" s="187"/>
      <x:c r="R49" s="192" t="str">
        <x:f>IF(OR(P49="",T49&lt;&gt;"OK"),"",ROUND(P49*MIN(1,('09 - Plafonds et aleas'!$B$9+'09 - Plafonds et aleas'!$B$10*Q49)/100),0))</x:f>
      </x:c>
      <x:c r="S49" t="str">
        <x:f>IF(T49&lt;&gt;"OK","",IF(('09 - Plafonds et aleas'!$B$9+'09 - Plafonds et aleas'!$B$10*Q49)&lt;=100,"Aucun",IF(Q49&lt;=17,"Matériau / service",IF(Q49&lt;=19,"Incident à résoudre","Quête majeure"))))</x:f>
      </x:c>
      <x:c r="T49" t="str">
        <x:f>IF(AND(M49="",N49="",Q49=""),"",IF(OR(M49="",N49=""),"N ET CATÉGORIE REQUIS",IF(OR(N49&lt;=0,AND(ISNUMBER(O49),O49&gt;=N49)),"NIVEAU INVALIDE",IF(OR(Q49="",Q49&lt;1,Q49&gt;20),"JET REQUIS / INVALIDE","OK"))))</x:f>
      </x:c>
    </x:row>
    <x:row r="50" ht="26" customHeight="1">
      <x:c r="A50" t="str">
        <x:v>Thaïs</x:v>
      </x:c>
      <x:c r="B50" s="78" t="str">
        <x:v>Robe de couleurs étincelantes</x:v>
      </x:c>
      <x:c r="C50" t="str">
        <x:v>Achat</x:v>
      </x:c>
      <x:c r="D50"/>
      <x:c r="E50" t="str">
        <x:v>Très rare</x:v>
      </x:c>
      <x:c r="F50" t="str">
        <x:v>Aidedd</x:v>
      </x:c>
      <x:c r="G50" s="60"/>
      <x:c r="H50" s="80"/>
      <x:c r="I50" t="str">
        <x:v>Non précisé</x:v>
      </x:c>
      <x:c r="J50"/>
      <x:c r="K50" s="76" t="str"/>
      <x:c r="L50" t="str">
        <x:v>Thaïs!A74:I74</x:v>
      </x:c>
      <x:c r="M50" s="187"/>
      <x:c r="N50" s="187"/>
      <x:c r="O50" s="187"/>
      <x:c r="P50" s="191" t="str">
        <x:f>IF(OR(M50="",N50="",AND(ISNUMBER(O50),O50&gt;=N50)),"",ROUND('02 - Barème'!$B$3*(N50^2-IF(O50="",0,O50)^2)*IF(M50="Arme",1,IF(M50="Armure/bouclier",'02 - Barème'!$B$4,'02 - Barème'!$B$5)),0))</x:f>
      </x:c>
      <x:c r="Q50" s="187"/>
      <x:c r="R50" s="192" t="str">
        <x:f>IF(OR(P50="",T50&lt;&gt;"OK"),"",ROUND(P50*MIN(1,('09 - Plafonds et aleas'!$B$9+'09 - Plafonds et aleas'!$B$10*Q50)/100),0))</x:f>
      </x:c>
      <x:c r="S50" t="str">
        <x:f>IF(T50&lt;&gt;"OK","",IF(('09 - Plafonds et aleas'!$B$9+'09 - Plafonds et aleas'!$B$10*Q50)&lt;=100,"Aucun",IF(Q50&lt;=17,"Matériau / service",IF(Q50&lt;=19,"Incident à résoudre","Quête majeure"))))</x:f>
      </x:c>
      <x:c r="T50" t="str">
        <x:f>IF(AND(M50="",N50="",Q50=""),"",IF(OR(M50="",N50=""),"N ET CATÉGORIE REQUIS",IF(OR(N50&lt;=0,AND(ISNUMBER(O50),O50&gt;=N50)),"NIVEAU INVALIDE",IF(OR(Q50="",Q50&lt;1,Q50&gt;20),"JET REQUIS / INVALIDE","OK"))))</x:f>
      </x:c>
    </x:row>
    <x:row r="51" ht="26" customHeight="1">
      <x:c r="A51" t="str">
        <x:v>Thaïs</x:v>
      </x:c>
      <x:c r="B51" s="78" t="str">
        <x:v>Anneaux de transport</x:v>
      </x:c>
      <x:c r="C51" t="str">
        <x:v>Achat</x:v>
      </x:c>
      <x:c r="D51"/>
      <x:c r="E51"/>
      <x:c r="F51" t="str">
        <x:v>Gemmaline</x:v>
      </x:c>
      <x:c r="G51" s="60"/>
      <x:c r="H51" s="80"/>
      <x:c r="I51" t="str">
        <x:v>Non précisé</x:v>
      </x:c>
      <x:c r="J51"/>
      <x:c r="K51" s="76" t="str"/>
      <x:c r="L51" t="str">
        <x:v>Thaïs!A75:I75</x:v>
      </x:c>
      <x:c r="M51" s="187"/>
      <x:c r="N51" s="187"/>
      <x:c r="O51" s="187"/>
      <x:c r="P51" s="191" t="str">
        <x:f>IF(OR(M51="",N51="",AND(ISNUMBER(O51),O51&gt;=N51)),"",ROUND('02 - Barème'!$B$3*(N51^2-IF(O51="",0,O51)^2)*IF(M51="Arme",1,IF(M51="Armure/bouclier",'02 - Barème'!$B$4,'02 - Barème'!$B$5)),0))</x:f>
      </x:c>
      <x:c r="Q51" s="187"/>
      <x:c r="R51" s="192" t="str">
        <x:f>IF(OR(P51="",T51&lt;&gt;"OK"),"",ROUND(P51*MIN(1,('09 - Plafonds et aleas'!$B$9+'09 - Plafonds et aleas'!$B$10*Q51)/100),0))</x:f>
      </x:c>
      <x:c r="S51" t="str">
        <x:f>IF(T51&lt;&gt;"OK","",IF(('09 - Plafonds et aleas'!$B$9+'09 - Plafonds et aleas'!$B$10*Q51)&lt;=100,"Aucun",IF(Q51&lt;=17,"Matériau / service",IF(Q51&lt;=19,"Incident à résoudre","Quête majeure"))))</x:f>
      </x:c>
      <x:c r="T51" t="str">
        <x:f>IF(AND(M51="",N51="",Q51=""),"",IF(OR(M51="",N51=""),"N ET CATÉGORIE REQUIS",IF(OR(N51&lt;=0,AND(ISNUMBER(O51),O51&gt;=N51)),"NIVEAU INVALIDE",IF(OR(Q51="",Q51&lt;1,Q51&gt;20),"JET REQUIS / INVALIDE","OK"))))</x:f>
      </x:c>
    </x:row>
    <x:row r="52" ht="26" customHeight="1">
      <x:c r="A52" t="str">
        <x:v>Thaïs</x:v>
      </x:c>
      <x:c r="B52" s="78" t="str">
        <x:v>Cape de l'assassin</x:v>
      </x:c>
      <x:c r="C52" t="str">
        <x:v>Achat</x:v>
      </x:c>
      <x:c r="D52"/>
      <x:c r="E52"/>
      <x:c r="F52" t="str">
        <x:v>Gemmaline</x:v>
      </x:c>
      <x:c r="G52" s="60" t="n">
        <x:v>10000</x:v>
      </x:c>
      <x:c r="H52" s="80"/>
      <x:c r="I52" t="str">
        <x:v>Non précisé</x:v>
      </x:c>
      <x:c r="J52"/>
      <x:c r="K52" s="76" t="str">
        <x:v>Mention MJ: WHY NOT, FAUT VOIR</x:v>
      </x:c>
      <x:c r="L52" t="str">
        <x:v>Thaïs!A76:I76</x:v>
      </x:c>
      <x:c r="M52" s="187"/>
      <x:c r="N52" s="187"/>
      <x:c r="O52" s="187"/>
      <x:c r="P52" s="191" t="str">
        <x:f>IF(OR(M52="",N52="",AND(ISNUMBER(O52),O52&gt;=N52)),"",ROUND('02 - Barème'!$B$3*(N52^2-IF(O52="",0,O52)^2)*IF(M52="Arme",1,IF(M52="Armure/bouclier",'02 - Barème'!$B$4,'02 - Barème'!$B$5)),0))</x:f>
      </x:c>
      <x:c r="Q52" s="187"/>
      <x:c r="R52" s="192" t="str">
        <x:f>IF(OR(P52="",T52&lt;&gt;"OK"),"",ROUND(P52*MIN(1,('09 - Plafonds et aleas'!$B$9+'09 - Plafonds et aleas'!$B$10*Q52)/100),0))</x:f>
      </x:c>
      <x:c r="S52" t="str">
        <x:f>IF(T52&lt;&gt;"OK","",IF(('09 - Plafonds et aleas'!$B$9+'09 - Plafonds et aleas'!$B$10*Q52)&lt;=100,"Aucun",IF(Q52&lt;=17,"Matériau / service",IF(Q52&lt;=19,"Incident à résoudre","Quête majeure"))))</x:f>
      </x:c>
      <x:c r="T52" t="str">
        <x:f>IF(AND(M52="",N52="",Q52=""),"",IF(OR(M52="",N52=""),"N ET CATÉGORIE REQUIS",IF(OR(N52&lt;=0,AND(ISNUMBER(O52),O52&gt;=N52)),"NIVEAU INVALIDE",IF(OR(Q52="",Q52&lt;1,Q52&gt;20),"JET REQUIS / INVALIDE","OK"))))</x:f>
      </x:c>
    </x:row>
    <x:row r="53" ht="26" customHeight="1">
      <x:c r="A53" t="str">
        <x:v>Thaïs</x:v>
      </x:c>
      <x:c r="B53" s="78" t="str">
        <x:v>Armure +2 changepeau</x:v>
      </x:c>
      <x:c r="C53" t="str">
        <x:v>Forge</x:v>
      </x:c>
      <x:c r="D53"/>
      <x:c r="E53"/>
      <x:c r="F53"/>
      <x:c r="G53" s="60"/>
      <x:c r="H53" s="80" t="n">
        <x:v>16000</x:v>
      </x:c>
      <x:c r="I53" t="str">
        <x:v>Non précisé</x:v>
      </x:c>
      <x:c r="J53"/>
      <x:c r="K53" s="76" t="str"/>
      <x:c r="L53" t="str">
        <x:v>Thaïs!A77:I77</x:v>
      </x:c>
      <x:c r="M53" s="187"/>
      <x:c r="N53" s="187"/>
      <x:c r="O53" s="187"/>
      <x:c r="P53" s="191" t="str">
        <x:f>IF(OR(M53="",N53="",AND(ISNUMBER(O53),O53&gt;=N53)),"",ROUND('02 - Barème'!$B$3*(N53^2-IF(O53="",0,O53)^2)*IF(M53="Arme",1,IF(M53="Armure/bouclier",'02 - Barème'!$B$4,'02 - Barème'!$B$5)),0))</x:f>
      </x:c>
      <x:c r="Q53" s="187"/>
      <x:c r="R53" s="192" t="str">
        <x:f>IF(OR(P53="",T53&lt;&gt;"OK"),"",ROUND(P53*MIN(1,('09 - Plafonds et aleas'!$B$9+'09 - Plafonds et aleas'!$B$10*Q53)/100),0))</x:f>
      </x:c>
      <x:c r="S53" t="str">
        <x:f>IF(T53&lt;&gt;"OK","",IF(('09 - Plafonds et aleas'!$B$9+'09 - Plafonds et aleas'!$B$10*Q53)&lt;=100,"Aucun",IF(Q53&lt;=17,"Matériau / service",IF(Q53&lt;=19,"Incident à résoudre","Quête majeure"))))</x:f>
      </x:c>
      <x:c r="T53" t="str">
        <x:f>IF(AND(M53="",N53="",Q53=""),"",IF(OR(M53="",N53=""),"N ET CATÉGORIE REQUIS",IF(OR(N53&lt;=0,AND(ISNUMBER(O53),O53&gt;=N53)),"NIVEAU INVALIDE",IF(OR(Q53="",Q53&lt;1,Q53&gt;20),"JET REQUIS / INVALIDE","OK"))))</x:f>
      </x:c>
    </x:row>
    <x:row r="54" ht="26" customHeight="1">
      <x:c r="A54" t="str">
        <x:v>Thaïs</x:v>
      </x:c>
      <x:c r="B54" s="78" t="str">
        <x:v>spell gem - comprehension des langues</x:v>
      </x:c>
      <x:c r="C54" t="str">
        <x:v>Achat</x:v>
      </x:c>
      <x:c r="D54"/>
      <x:c r="E54" t="str">
        <x:v>peu commun</x:v>
      </x:c>
      <x:c r="F54"/>
      <x:c r="G54" s="60"/>
      <x:c r="H54" s="80"/>
      <x:c r="I54" t="str">
        <x:v>Liste complémentaire</x:v>
      </x:c>
      <x:c r="J54"/>
      <x:c r="K54" s="76" t="str"/>
      <x:c r="L54" t="str">
        <x:v>Thaïs!A102:I102</x:v>
      </x:c>
      <x:c r="M54" s="187"/>
      <x:c r="N54" s="187"/>
      <x:c r="O54" s="187"/>
      <x:c r="P54" s="191" t="str">
        <x:f>IF(OR(M54="",N54="",AND(ISNUMBER(O54),O54&gt;=N54)),"",ROUND('02 - Barème'!$B$3*(N54^2-IF(O54="",0,O54)^2)*IF(M54="Arme",1,IF(M54="Armure/bouclier",'02 - Barème'!$B$4,'02 - Barème'!$B$5)),0))</x:f>
      </x:c>
      <x:c r="Q54" s="187"/>
      <x:c r="R54" s="192" t="str">
        <x:f>IF(OR(P54="",T54&lt;&gt;"OK"),"",ROUND(P54*MIN(1,('09 - Plafonds et aleas'!$B$9+'09 - Plafonds et aleas'!$B$10*Q54)/100),0))</x:f>
      </x:c>
      <x:c r="S54" t="str">
        <x:f>IF(T54&lt;&gt;"OK","",IF(('09 - Plafonds et aleas'!$B$9+'09 - Plafonds et aleas'!$B$10*Q54)&lt;=100,"Aucun",IF(Q54&lt;=17,"Matériau / service",IF(Q54&lt;=19,"Incident à résoudre","Quête majeure"))))</x:f>
      </x:c>
      <x:c r="T54" t="str">
        <x:f>IF(AND(M54="",N54="",Q54=""),"",IF(OR(M54="",N54=""),"N ET CATÉGORIE REQUIS",IF(OR(N54&lt;=0,AND(ISNUMBER(O54),O54&gt;=N54)),"NIVEAU INVALIDE",IF(OR(Q54="",Q54&lt;1,Q54&gt;20),"JET REQUIS / INVALIDE","OK"))))</x:f>
      </x:c>
    </x:row>
    <x:row r="55" ht="26" customHeight="1">
      <x:c r="A55" t="str">
        <x:v>Thaïs</x:v>
      </x:c>
      <x:c r="B55" s="78" t="str">
        <x:v>spell gem - silence</x:v>
      </x:c>
      <x:c r="C55" t="str">
        <x:v>Achat</x:v>
      </x:c>
      <x:c r="D55"/>
      <x:c r="E55" t="str">
        <x:v>rare</x:v>
      </x:c>
      <x:c r="F55"/>
      <x:c r="G55" s="60"/>
      <x:c r="H55" s="80"/>
      <x:c r="I55" t="str">
        <x:v>Liste complémentaire</x:v>
      </x:c>
      <x:c r="J55"/>
      <x:c r="K55" s="76" t="str"/>
      <x:c r="L55" t="str">
        <x:v>Thaïs!A103:I103</x:v>
      </x:c>
      <x:c r="M55" s="187"/>
      <x:c r="N55" s="187"/>
      <x:c r="O55" s="187"/>
      <x:c r="P55" s="191" t="str">
        <x:f>IF(OR(M55="",N55="",AND(ISNUMBER(O55),O55&gt;=N55)),"",ROUND('02 - Barème'!$B$3*(N55^2-IF(O55="",0,O55)^2)*IF(M55="Arme",1,IF(M55="Armure/bouclier",'02 - Barème'!$B$4,'02 - Barème'!$B$5)),0))</x:f>
      </x:c>
      <x:c r="Q55" s="187"/>
      <x:c r="R55" s="192" t="str">
        <x:f>IF(OR(P55="",T55&lt;&gt;"OK"),"",ROUND(P55*MIN(1,('09 - Plafonds et aleas'!$B$9+'09 - Plafonds et aleas'!$B$10*Q55)/100),0))</x:f>
      </x:c>
      <x:c r="S55" t="str">
        <x:f>IF(T55&lt;&gt;"OK","",IF(('09 - Plafonds et aleas'!$B$9+'09 - Plafonds et aleas'!$B$10*Q55)&lt;=100,"Aucun",IF(Q55&lt;=17,"Matériau / service",IF(Q55&lt;=19,"Incident à résoudre","Quête majeure"))))</x:f>
      </x:c>
      <x:c r="T55" t="str">
        <x:f>IF(AND(M55="",N55="",Q55=""),"",IF(OR(M55="",N55=""),"N ET CATÉGORIE REQUIS",IF(OR(N55&lt;=0,AND(ISNUMBER(O55),O55&gt;=N55)),"NIVEAU INVALIDE",IF(OR(Q55="",Q55&lt;1,Q55&gt;20),"JET REQUIS / INVALIDE","OK"))))</x:f>
      </x:c>
    </x:row>
    <x:row r="56" ht="26" customHeight="1">
      <x:c r="A56" t="str">
        <x:v>Thaïs</x:v>
      </x:c>
      <x:c r="B56" s="78" t="str">
        <x:v>upgrade rod of the pact keeper +3</x:v>
      </x:c>
      <x:c r="C56" t="str">
        <x:v>Forge</x:v>
      </x:c>
      <x:c r="D56"/>
      <x:c r="E56"/>
      <x:c r="F56"/>
      <x:c r="G56" s="60"/>
      <x:c r="H56" s="80"/>
      <x:c r="I56" t="str">
        <x:v>Liste complémentaire</x:v>
      </x:c>
      <x:c r="J56"/>
      <x:c r="K56" s="76" t="str"/>
      <x:c r="L56" t="str">
        <x:v>Thaïs!A104:I104</x:v>
      </x:c>
      <x:c r="M56" s="187"/>
      <x:c r="N56" s="187"/>
      <x:c r="O56" s="187"/>
      <x:c r="P56" s="191" t="str">
        <x:f>IF(OR(M56="",N56="",AND(ISNUMBER(O56),O56&gt;=N56)),"",ROUND('02 - Barème'!$B$3*(N56^2-IF(O56="",0,O56)^2)*IF(M56="Arme",1,IF(M56="Armure/bouclier",'02 - Barème'!$B$4,'02 - Barème'!$B$5)),0))</x:f>
      </x:c>
      <x:c r="Q56" s="187"/>
      <x:c r="R56" s="192" t="str">
        <x:f>IF(OR(P56="",T56&lt;&gt;"OK"),"",ROUND(P56*MIN(1,('09 - Plafonds et aleas'!$B$9+'09 - Plafonds et aleas'!$B$10*Q56)/100),0))</x:f>
      </x:c>
      <x:c r="S56" t="str">
        <x:f>IF(T56&lt;&gt;"OK","",IF(('09 - Plafonds et aleas'!$B$9+'09 - Plafonds et aleas'!$B$10*Q56)&lt;=100,"Aucun",IF(Q56&lt;=17,"Matériau / service",IF(Q56&lt;=19,"Incident à résoudre","Quête majeure"))))</x:f>
      </x:c>
      <x:c r="T56" t="str">
        <x:f>IF(AND(M56="",N56="",Q56=""),"",IF(OR(M56="",N56=""),"N ET CATÉGORIE REQUIS",IF(OR(N56&lt;=0,AND(ISNUMBER(O56),O56&gt;=N56)),"NIVEAU INVALIDE",IF(OR(Q56="",Q56&lt;1,Q56&gt;20),"JET REQUIS / INVALIDE","OK"))))</x:f>
      </x:c>
    </x:row>
    <x:row r="57" ht="26" customHeight="1">
      <x:c r="A57" t="str">
        <x:v>Thaïs</x:v>
      </x:c>
      <x:c r="B57" s="78" t="str">
        <x:v>upgrade armure +3</x:v>
      </x:c>
      <x:c r="C57" t="str">
        <x:v>Forge</x:v>
      </x:c>
      <x:c r="D57"/>
      <x:c r="E57"/>
      <x:c r="F57"/>
      <x:c r="G57" s="60"/>
      <x:c r="H57" s="80"/>
      <x:c r="I57" t="str">
        <x:v>Liste complémentaire</x:v>
      </x:c>
      <x:c r="J57"/>
      <x:c r="K57" s="76" t="str"/>
      <x:c r="L57" t="str">
        <x:v>Thaïs!A105:I105</x:v>
      </x:c>
      <x:c r="M57" s="187"/>
      <x:c r="N57" s="187"/>
      <x:c r="O57" s="187"/>
      <x:c r="P57" s="191" t="str">
        <x:f>IF(OR(M57="",N57="",AND(ISNUMBER(O57),O57&gt;=N57)),"",ROUND('02 - Barème'!$B$3*(N57^2-IF(O57="",0,O57)^2)*IF(M57="Arme",1,IF(M57="Armure/bouclier",'02 - Barème'!$B$4,'02 - Barème'!$B$5)),0))</x:f>
      </x:c>
      <x:c r="Q57" s="187"/>
      <x:c r="R57" s="192" t="str">
        <x:f>IF(OR(P57="",T57&lt;&gt;"OK"),"",ROUND(P57*MIN(1,('09 - Plafonds et aleas'!$B$9+'09 - Plafonds et aleas'!$B$10*Q57)/100),0))</x:f>
      </x:c>
      <x:c r="S57" t="str">
        <x:f>IF(T57&lt;&gt;"OK","",IF(('09 - Plafonds et aleas'!$B$9+'09 - Plafonds et aleas'!$B$10*Q57)&lt;=100,"Aucun",IF(Q57&lt;=17,"Matériau / service",IF(Q57&lt;=19,"Incident à résoudre","Quête majeure"))))</x:f>
      </x:c>
      <x:c r="T57" t="str">
        <x:f>IF(AND(M57="",N57="",Q57=""),"",IF(OR(M57="",N57=""),"N ET CATÉGORIE REQUIS",IF(OR(N57&lt;=0,AND(ISNUMBER(O57),O57&gt;=N57)),"NIVEAU INVALIDE",IF(OR(Q57="",Q57&lt;1,Q57&gt;20),"JET REQUIS / INVALIDE","OK"))))</x:f>
      </x:c>
    </x:row>
    <x:row r="58" ht="26" customHeight="1">
      <x:c r="A58" t="str">
        <x:v>Thaïs</x:v>
      </x:c>
      <x:c r="B58" s="78" t="str">
        <x:v>amelioration weapon of warning</x:v>
      </x:c>
      <x:c r="C58" t="str">
        <x:v>Achat</x:v>
      </x:c>
      <x:c r="D58"/>
      <x:c r="E58" t="str">
        <x:v>peu commun</x:v>
      </x:c>
      <x:c r="F58"/>
      <x:c r="G58" s="60"/>
      <x:c r="H58" s="80"/>
      <x:c r="I58" t="str">
        <x:v>36000</x:v>
      </x:c>
      <x:c r="J58"/>
      <x:c r="K58" s="76" t="str"/>
      <x:c r="L58" t="str">
        <x:v>Thaïs!A106:I106</x:v>
      </x:c>
      <x:c r="M58" s="187"/>
      <x:c r="N58" s="187"/>
      <x:c r="O58" s="187"/>
      <x:c r="P58" s="191" t="str">
        <x:f>IF(OR(M58="",N58="",AND(ISNUMBER(O58),O58&gt;=N58)),"",ROUND('02 - Barème'!$B$3*(N58^2-IF(O58="",0,O58)^2)*IF(M58="Arme",1,IF(M58="Armure/bouclier",'02 - Barème'!$B$4,'02 - Barème'!$B$5)),0))</x:f>
      </x:c>
      <x:c r="Q58" s="187"/>
      <x:c r="R58" s="192" t="str">
        <x:f>IF(OR(P58="",T58&lt;&gt;"OK"),"",ROUND(P58*MIN(1,('09 - Plafonds et aleas'!$B$9+'09 - Plafonds et aleas'!$B$10*Q58)/100),0))</x:f>
      </x:c>
      <x:c r="S58" t="str">
        <x:f>IF(T58&lt;&gt;"OK","",IF(('09 - Plafonds et aleas'!$B$9+'09 - Plafonds et aleas'!$B$10*Q58)&lt;=100,"Aucun",IF(Q58&lt;=17,"Matériau / service",IF(Q58&lt;=19,"Incident à résoudre","Quête majeure"))))</x:f>
      </x:c>
      <x:c r="T58" t="str">
        <x:f>IF(AND(M58="",N58="",Q58=""),"",IF(OR(M58="",N58=""),"N ET CATÉGORIE REQUIS",IF(OR(N58&lt;=0,AND(ISNUMBER(O58),O58&gt;=N58)),"NIVEAU INVALIDE",IF(OR(Q58="",Q58&lt;1,Q58&gt;20),"JET REQUIS / INVALIDE","OK"))))</x:f>
      </x:c>
    </x:row>
    <x:row r="59" ht="26" customHeight="1">
      <x:c r="A59" t="str">
        <x:v>Thaïs</x:v>
      </x:c>
      <x:c r="B59" s="78" t="str">
        <x:v>vend amulette de bonne sante</x:v>
      </x:c>
      <x:c r="C59" t="str">
        <x:v>Achat</x:v>
      </x:c>
      <x:c r="D59"/>
      <x:c r="E59" t="str">
        <x:v>peu commun</x:v>
      </x:c>
      <x:c r="F59"/>
      <x:c r="G59" s="60"/>
      <x:c r="H59" s="80"/>
      <x:c r="I59" t="str">
        <x:v>-50</x:v>
      </x:c>
      <x:c r="J59"/>
      <x:c r="K59" s="76" t="str"/>
      <x:c r="L59" t="str">
        <x:v>Thaïs!A107:I107</x:v>
      </x:c>
      <x:c r="M59" s="187"/>
      <x:c r="N59" s="187"/>
      <x:c r="O59" s="187"/>
      <x:c r="P59" s="191" t="str">
        <x:f>IF(OR(M59="",N59="",AND(ISNUMBER(O59),O59&gt;=N59)),"",ROUND('02 - Barème'!$B$3*(N59^2-IF(O59="",0,O59)^2)*IF(M59="Arme",1,IF(M59="Armure/bouclier",'02 - Barème'!$B$4,'02 - Barème'!$B$5)),0))</x:f>
      </x:c>
      <x:c r="Q59" s="187"/>
      <x:c r="R59" s="192" t="str">
        <x:f>IF(OR(P59="",T59&lt;&gt;"OK"),"",ROUND(P59*MIN(1,('09 - Plafonds et aleas'!$B$9+'09 - Plafonds et aleas'!$B$10*Q59)/100),0))</x:f>
      </x:c>
      <x:c r="S59" t="str">
        <x:f>IF(T59&lt;&gt;"OK","",IF(('09 - Plafonds et aleas'!$B$9+'09 - Plafonds et aleas'!$B$10*Q59)&lt;=100,"Aucun",IF(Q59&lt;=17,"Matériau / service",IF(Q59&lt;=19,"Incident à résoudre","Quête majeure"))))</x:f>
      </x:c>
      <x:c r="T59" t="str">
        <x:f>IF(AND(M59="",N59="",Q59=""),"",IF(OR(M59="",N59=""),"N ET CATÉGORIE REQUIS",IF(OR(N59&lt;=0,AND(ISNUMBER(O59),O59&gt;=N59)),"NIVEAU INVALIDE",IF(OR(Q59="",Q59&lt;1,Q59&gt;20),"JET REQUIS / INVALIDE","OK"))))</x:f>
      </x:c>
    </x:row>
    <x:row r="60" ht="26" customHeight="1">
      <x:c r="A60" t="str">
        <x:v>Thaïs</x:v>
      </x:c>
      <x:c r="B60" s="78" t="str">
        <x:v>periapt of proof against poison</x:v>
      </x:c>
      <x:c r="C60" t="str">
        <x:v>Achat</x:v>
      </x:c>
      <x:c r="D60"/>
      <x:c r="E60" t="str">
        <x:v>rare</x:v>
      </x:c>
      <x:c r="F60"/>
      <x:c r="G60" s="60"/>
      <x:c r="H60" s="80"/>
      <x:c r="I60" t="str">
        <x:v>1000</x:v>
      </x:c>
      <x:c r="J60"/>
      <x:c r="K60" s="76" t="str"/>
      <x:c r="L60" t="str">
        <x:v>Thaïs!A108:I108</x:v>
      </x:c>
      <x:c r="M60" s="187"/>
      <x:c r="N60" s="187"/>
      <x:c r="O60" s="187"/>
      <x:c r="P60" s="191" t="str">
        <x:f>IF(OR(M60="",N60="",AND(ISNUMBER(O60),O60&gt;=N60)),"",ROUND('02 - Barème'!$B$3*(N60^2-IF(O60="",0,O60)^2)*IF(M60="Arme",1,IF(M60="Armure/bouclier",'02 - Barème'!$B$4,'02 - Barème'!$B$5)),0))</x:f>
      </x:c>
      <x:c r="Q60" s="187"/>
      <x:c r="R60" s="192" t="str">
        <x:f>IF(OR(P60="",T60&lt;&gt;"OK"),"",ROUND(P60*MIN(1,('09 - Plafonds et aleas'!$B$9+'09 - Plafonds et aleas'!$B$10*Q60)/100),0))</x:f>
      </x:c>
      <x:c r="S60" t="str">
        <x:f>IF(T60&lt;&gt;"OK","",IF(('09 - Plafonds et aleas'!$B$9+'09 - Plafonds et aleas'!$B$10*Q60)&lt;=100,"Aucun",IF(Q60&lt;=17,"Matériau / service",IF(Q60&lt;=19,"Incident à résoudre","Quête majeure"))))</x:f>
      </x:c>
      <x:c r="T60" t="str">
        <x:f>IF(AND(M60="",N60="",Q60=""),"",IF(OR(M60="",N60=""),"N ET CATÉGORIE REQUIS",IF(OR(N60&lt;=0,AND(ISNUMBER(O60),O60&gt;=N60)),"NIVEAU INVALIDE",IF(OR(Q60="",Q60&lt;1,Q60&gt;20),"JET REQUIS / INVALIDE","OK"))))</x:f>
      </x:c>
    </x:row>
    <x:row r="61" ht="26" customHeight="1">
      <x:c r="A61" t="str">
        <x:v>Thaïs</x:v>
      </x:c>
      <x:c r="B61" s="78" t="str">
        <x:v>chercher comment monter en grade chez les menestrels pour passer archimage</x:v>
      </x:c>
      <x:c r="C61" t="str">
        <x:v>Action / autre</x:v>
      </x:c>
      <x:c r="D61"/>
      <x:c r="E61"/>
      <x:c r="F61"/>
      <x:c r="G61" s="60"/>
      <x:c r="H61" s="80"/>
      <x:c r="I61" t="str">
        <x:v>Liste complémentaire</x:v>
      </x:c>
      <x:c r="J61"/>
      <x:c r="K61" s="76" t="str"/>
      <x:c r="L61" t="str">
        <x:v>Thaïs!A109:I109</x:v>
      </x:c>
      <x:c r="M61" s="187"/>
      <x:c r="N61" s="187"/>
      <x:c r="O61" s="187"/>
      <x:c r="P61" s="191" t="str">
        <x:f>IF(OR(M61="",N61="",AND(ISNUMBER(O61),O61&gt;=N61)),"",ROUND('02 - Barème'!$B$3*(N61^2-IF(O61="",0,O61)^2)*IF(M61="Arme",1,IF(M61="Armure/bouclier",'02 - Barème'!$B$4,'02 - Barème'!$B$5)),0))</x:f>
      </x:c>
      <x:c r="Q61" s="187"/>
      <x:c r="R61" s="192" t="str">
        <x:f>IF(OR(P61="",T61&lt;&gt;"OK"),"",ROUND(P61*MIN(1,('09 - Plafonds et aleas'!$B$9+'09 - Plafonds et aleas'!$B$10*Q61)/100),0))</x:f>
      </x:c>
      <x:c r="S61" t="str">
        <x:f>IF(T61&lt;&gt;"OK","",IF(('09 - Plafonds et aleas'!$B$9+'09 - Plafonds et aleas'!$B$10*Q61)&lt;=100,"Aucun",IF(Q61&lt;=17,"Matériau / service",IF(Q61&lt;=19,"Incident à résoudre","Quête majeure"))))</x:f>
      </x:c>
      <x:c r="T61" t="str">
        <x:f>IF(AND(M61="",N61="",Q61=""),"",IF(OR(M61="",N61=""),"N ET CATÉGORIE REQUIS",IF(OR(N61&lt;=0,AND(ISNUMBER(O61),O61&gt;=N61)),"NIVEAU INVALIDE",IF(OR(Q61="",Q61&lt;1,Q61&gt;20),"JET REQUIS / INVALIDE","OK"))))</x:f>
      </x:c>
    </x:row>
    <x:row r="62" ht="26" customHeight="1">
      <x:c r="A62" t="str">
        <x:v>Thaïs</x:v>
      </x:c>
      <x:c r="B62" s="78" t="str">
        <x:v>gemme sort topaz 6</x:v>
      </x:c>
      <x:c r="C62" t="str">
        <x:v>Achat</x:v>
      </x:c>
      <x:c r="D62"/>
      <x:c r="E62" t="str">
        <x:v>très rare</x:v>
      </x:c>
      <x:c r="F62"/>
      <x:c r="G62" s="60"/>
      <x:c r="H62" s="80"/>
      <x:c r="I62" t="str">
        <x:v>Liste complémentaire</x:v>
      </x:c>
      <x:c r="J62"/>
      <x:c r="K62" s="76" t="str"/>
      <x:c r="L62" t="str">
        <x:v>Thaïs!A110:I110</x:v>
      </x:c>
      <x:c r="M62" s="187"/>
      <x:c r="N62" s="187"/>
      <x:c r="O62" s="187"/>
      <x:c r="P62" s="191" t="str">
        <x:f>IF(OR(M62="",N62="",AND(ISNUMBER(O62),O62&gt;=N62)),"",ROUND('02 - Barème'!$B$3*(N62^2-IF(O62="",0,O62)^2)*IF(M62="Arme",1,IF(M62="Armure/bouclier",'02 - Barème'!$B$4,'02 - Barème'!$B$5)),0))</x:f>
      </x:c>
      <x:c r="Q62" s="187"/>
      <x:c r="R62" s="192" t="str">
        <x:f>IF(OR(P62="",T62&lt;&gt;"OK"),"",ROUND(P62*MIN(1,('09 - Plafonds et aleas'!$B$9+'09 - Plafonds et aleas'!$B$10*Q62)/100),0))</x:f>
      </x:c>
      <x:c r="S62" t="str">
        <x:f>IF(T62&lt;&gt;"OK","",IF(('09 - Plafonds et aleas'!$B$9+'09 - Plafonds et aleas'!$B$10*Q62)&lt;=100,"Aucun",IF(Q62&lt;=17,"Matériau / service",IF(Q62&lt;=19,"Incident à résoudre","Quête majeure"))))</x:f>
      </x:c>
      <x:c r="T62" t="str">
        <x:f>IF(AND(M62="",N62="",Q62=""),"",IF(OR(M62="",N62=""),"N ET CATÉGORIE REQUIS",IF(OR(N62&lt;=0,AND(ISNUMBER(O62),O62&gt;=N62)),"NIVEAU INVALIDE",IF(OR(Q62="",Q62&lt;1,Q62&gt;20),"JET REQUIS / INVALIDE","OK"))))</x:f>
      </x:c>
    </x:row>
    <x:row r="63" ht="26" customHeight="1">
      <x:c r="A63" t="str">
        <x:v>Thaïs</x:v>
      </x:c>
      <x:c r="B63" s="78" t="str">
        <x:v>item pour shadow of moil</x:v>
      </x:c>
      <x:c r="C63" t="str">
        <x:v>Achat</x:v>
      </x:c>
      <x:c r="D63"/>
      <x:c r="E63"/>
      <x:c r="F63"/>
      <x:c r="G63" s="60"/>
      <x:c r="H63" s="80"/>
      <x:c r="I63" t="str">
        <x:v>150</x:v>
      </x:c>
      <x:c r="J63"/>
      <x:c r="K63" s="76" t="str"/>
      <x:c r="L63" t="str">
        <x:v>Thaïs!A111:I111</x:v>
      </x:c>
      <x:c r="M63" s="187"/>
      <x:c r="N63" s="187"/>
      <x:c r="O63" s="187"/>
      <x:c r="P63" s="191" t="str">
        <x:f>IF(OR(M63="",N63="",AND(ISNUMBER(O63),O63&gt;=N63)),"",ROUND('02 - Barème'!$B$3*(N63^2-IF(O63="",0,O63)^2)*IF(M63="Arme",1,IF(M63="Armure/bouclier",'02 - Barème'!$B$4,'02 - Barème'!$B$5)),0))</x:f>
      </x:c>
      <x:c r="Q63" s="187"/>
      <x:c r="R63" s="192" t="str">
        <x:f>IF(OR(P63="",T63&lt;&gt;"OK"),"",ROUND(P63*MIN(1,('09 - Plafonds et aleas'!$B$9+'09 - Plafonds et aleas'!$B$10*Q63)/100),0))</x:f>
      </x:c>
      <x:c r="S63" t="str">
        <x:f>IF(T63&lt;&gt;"OK","",IF(('09 - Plafonds et aleas'!$B$9+'09 - Plafonds et aleas'!$B$10*Q63)&lt;=100,"Aucun",IF(Q63&lt;=17,"Matériau / service",IF(Q63&lt;=19,"Incident à résoudre","Quête majeure"))))</x:f>
      </x:c>
      <x:c r="T63" t="str">
        <x:f>IF(AND(M63="",N63="",Q63=""),"",IF(OR(M63="",N63=""),"N ET CATÉGORIE REQUIS",IF(OR(N63&lt;=0,AND(ISNUMBER(O63),O63&gt;=N63)),"NIVEAU INVALIDE",IF(OR(Q63="",Q63&lt;1,Q63&gt;20),"JET REQUIS / INVALIDE","OK"))))</x:f>
      </x:c>
    </x:row>
    <x:row r="64" ht="26" customHeight="1">
      <x:c r="A64" t="str">
        <x:v>Nono</x:v>
      </x:c>
      <x:c r="B64" s="78" t="str">
        <x:v>Bâton des forets</x:v>
      </x:c>
      <x:c r="C64" t="str">
        <x:v>Achat</x:v>
      </x:c>
      <x:c r="D64" t="n">
        <x:v>1</x:v>
      </x:c>
      <x:c r="E64" t="str">
        <x:v>Rare</x:v>
      </x:c>
      <x:c r="F64" t="str">
        <x:v>Aide dd</x:v>
      </x:c>
      <x:c r="G64" s="60"/>
      <x:c r="H64" s="80" t="n">
        <x:v>5000</x:v>
      </x:c>
      <x:c r="I64" t="str">
        <x:v>OK</x:v>
      </x:c>
      <x:c r="J64"/>
      <x:c r="K64" s="76" t="str">
        <x:v>M: 5000 | N: 1 lien</x:v>
      </x:c>
      <x:c r="L64" t="str">
        <x:v>Nono!A2:N2</x:v>
      </x:c>
      <x:c r="M64" s="187"/>
      <x:c r="N64" s="187"/>
      <x:c r="O64" s="187"/>
      <x:c r="P64" s="191" t="str">
        <x:f>IF(OR(M64="",N64="",AND(ISNUMBER(O64),O64&gt;=N64)),"",ROUND('02 - Barème'!$B$3*(N64^2-IF(O64="",0,O64)^2)*IF(M64="Arme",1,IF(M64="Armure/bouclier",'02 - Barème'!$B$4,'02 - Barème'!$B$5)),0))</x:f>
      </x:c>
      <x:c r="Q64" s="187"/>
      <x:c r="R64" s="192" t="str">
        <x:f>IF(OR(P64="",T64&lt;&gt;"OK"),"",ROUND(P64*MIN(1,('09 - Plafonds et aleas'!$B$9+'09 - Plafonds et aleas'!$B$10*Q64)/100),0))</x:f>
      </x:c>
      <x:c r="S64" t="str">
        <x:f>IF(T64&lt;&gt;"OK","",IF(('09 - Plafonds et aleas'!$B$9+'09 - Plafonds et aleas'!$B$10*Q64)&lt;=100,"Aucun",IF(Q64&lt;=17,"Matériau / service",IF(Q64&lt;=19,"Incident à résoudre","Quête majeure"))))</x:f>
      </x:c>
      <x:c r="T64" t="str">
        <x:f>IF(AND(M64="",N64="",Q64=""),"",IF(OR(M64="",N64=""),"N ET CATÉGORIE REQUIS",IF(OR(N64&lt;=0,AND(ISNUMBER(O64),O64&gt;=N64)),"NIVEAU INVALIDE",IF(OR(Q64="",Q64&lt;1,Q64&gt;20),"JET REQUIS / INVALIDE","OK"))))</x:f>
      </x:c>
    </x:row>
    <x:row r="65" ht="26" customHeight="1">
      <x:c r="A65" t="str">
        <x:v>Nono</x:v>
      </x:c>
      <x:c r="B65" s="78" t="str">
        <x:v>Chasuble de druide</x:v>
      </x:c>
      <x:c r="C65" t="str">
        <x:v>Achat</x:v>
      </x:c>
      <x:c r="D65"/>
      <x:c r="E65"/>
      <x:c r="F65"/>
      <x:c r="G65" s="60" t="n">
        <x:v>10000</x:v>
      </x:c>
      <x:c r="H65" s="80"/>
      <x:c r="I65" t="str">
        <x:v>Non précisé</x:v>
      </x:c>
      <x:c r="J65"/>
      <x:c r="K65" s="76" t="str"/>
      <x:c r="L65" t="str">
        <x:v>Nono!A3:N3</x:v>
      </x:c>
      <x:c r="M65" s="187"/>
      <x:c r="N65" s="187"/>
      <x:c r="O65" s="187"/>
      <x:c r="P65" s="191" t="str">
        <x:f>IF(OR(M65="",N65="",AND(ISNUMBER(O65),O65&gt;=N65)),"",ROUND('02 - Barème'!$B$3*(N65^2-IF(O65="",0,O65)^2)*IF(M65="Arme",1,IF(M65="Armure/bouclier",'02 - Barème'!$B$4,'02 - Barème'!$B$5)),0))</x:f>
      </x:c>
      <x:c r="Q65" s="187"/>
      <x:c r="R65" s="192" t="str">
        <x:f>IF(OR(P65="",T65&lt;&gt;"OK"),"",ROUND(P65*MIN(1,('09 - Plafonds et aleas'!$B$9+'09 - Plafonds et aleas'!$B$10*Q65)/100),0))</x:f>
      </x:c>
      <x:c r="S65" t="str">
        <x:f>IF(T65&lt;&gt;"OK","",IF(('09 - Plafonds et aleas'!$B$9+'09 - Plafonds et aleas'!$B$10*Q65)&lt;=100,"Aucun",IF(Q65&lt;=17,"Matériau / service",IF(Q65&lt;=19,"Incident à résoudre","Quête majeure"))))</x:f>
      </x:c>
      <x:c r="T65" t="str">
        <x:f>IF(AND(M65="",N65="",Q65=""),"",IF(OR(M65="",N65=""),"N ET CATÉGORIE REQUIS",IF(OR(N65&lt;=0,AND(ISNUMBER(O65),O65&gt;=N65)),"NIVEAU INVALIDE",IF(OR(Q65="",Q65&lt;1,Q65&gt;20),"JET REQUIS / INVALIDE","OK"))))</x:f>
      </x:c>
    </x:row>
    <x:row r="66" ht="26" customHeight="1">
      <x:c r="A66" t="str">
        <x:v>Nono</x:v>
      </x:c>
      <x:c r="B66" s="78" t="str">
        <x:v>Anneau soin mystique</x:v>
      </x:c>
      <x:c r="C66" t="str">
        <x:v>Achat</x:v>
      </x:c>
      <x:c r="D66" t="n">
        <x:v>2</x:v>
      </x:c>
      <x:c r="E66"/>
      <x:c r="F66" t="str">
        <x:v>Gemmaline</x:v>
      </x:c>
      <x:c r="G66" s="60" t="n">
        <x:v>3500</x:v>
      </x:c>
      <x:c r="H66" s="80" t="n">
        <x:v>12800</x:v>
      </x:c>
      <x:c r="I66" t="str">
        <x:v>Non précisé</x:v>
      </x:c>
      <x:c r="J66"/>
      <x:c r="K66" s="76" t="str">
        <x:v>I: Construire par rapport à la baguette de boule de feu | L: Retour | M: max 12 800 | N: 1 lien</x:v>
      </x:c>
      <x:c r="L66" t="str">
        <x:v>Nono!A4:N4</x:v>
      </x:c>
      <x:c r="M66" s="187"/>
      <x:c r="N66" s="187"/>
      <x:c r="O66" s="187"/>
      <x:c r="P66" s="191" t="str">
        <x:f>IF(OR(M66="",N66="",AND(ISNUMBER(O66),O66&gt;=N66)),"",ROUND('02 - Barème'!$B$3*(N66^2-IF(O66="",0,O66)^2)*IF(M66="Arme",1,IF(M66="Armure/bouclier",'02 - Barème'!$B$4,'02 - Barème'!$B$5)),0))</x:f>
      </x:c>
      <x:c r="Q66" s="187"/>
      <x:c r="R66" s="192" t="str">
        <x:f>IF(OR(P66="",T66&lt;&gt;"OK"),"",ROUND(P66*MIN(1,('09 - Plafonds et aleas'!$B$9+'09 - Plafonds et aleas'!$B$10*Q66)/100),0))</x:f>
      </x:c>
      <x:c r="S66" t="str">
        <x:f>IF(T66&lt;&gt;"OK","",IF(('09 - Plafonds et aleas'!$B$9+'09 - Plafonds et aleas'!$B$10*Q66)&lt;=100,"Aucun",IF(Q66&lt;=17,"Matériau / service",IF(Q66&lt;=19,"Incident à résoudre","Quête majeure"))))</x:f>
      </x:c>
      <x:c r="T66" t="str">
        <x:f>IF(AND(M66="",N66="",Q66=""),"",IF(OR(M66="",N66=""),"N ET CATÉGORIE REQUIS",IF(OR(N66&lt;=0,AND(ISNUMBER(O66),O66&gt;=N66)),"NIVEAU INVALIDE",IF(OR(Q66="",Q66&lt;1,Q66&gt;20),"JET REQUIS / INVALIDE","OK"))))</x:f>
      </x:c>
    </x:row>
    <x:row r="67" ht="26" customHeight="1">
      <x:c r="A67" t="str">
        <x:v>Nono</x:v>
      </x:c>
      <x:c r="B67" s="78" t="str">
        <x:v>Bouclier antiprojectile</x:v>
      </x:c>
      <x:c r="C67" t="str">
        <x:v>Achat</x:v>
      </x:c>
      <x:c r="D67"/>
      <x:c r="E67" t="str">
        <x:v>Rare</x:v>
      </x:c>
      <x:c r="F67" t="str">
        <x:v>Aide dd</x:v>
      </x:c>
      <x:c r="G67" s="60"/>
      <x:c r="H67" s="80"/>
      <x:c r="I67" t="str">
        <x:v>Non précisé</x:v>
      </x:c>
      <x:c r="J67"/>
      <x:c r="K67" s="76" t="str"/>
      <x:c r="L67" t="str">
        <x:v>Nono!A5:N5</x:v>
      </x:c>
      <x:c r="M67" s="187"/>
      <x:c r="N67" s="187"/>
      <x:c r="O67" s="187"/>
      <x:c r="P67" s="191" t="str">
        <x:f>IF(OR(M67="",N67="",AND(ISNUMBER(O67),O67&gt;=N67)),"",ROUND('02 - Barème'!$B$3*(N67^2-IF(O67="",0,O67)^2)*IF(M67="Arme",1,IF(M67="Armure/bouclier",'02 - Barème'!$B$4,'02 - Barème'!$B$5)),0))</x:f>
      </x:c>
      <x:c r="Q67" s="187"/>
      <x:c r="R67" s="192" t="str">
        <x:f>IF(OR(P67="",T67&lt;&gt;"OK"),"",ROUND(P67*MIN(1,('09 - Plafonds et aleas'!$B$9+'09 - Plafonds et aleas'!$B$10*Q67)/100),0))</x:f>
      </x:c>
      <x:c r="S67" t="str">
        <x:f>IF(T67&lt;&gt;"OK","",IF(('09 - Plafonds et aleas'!$B$9+'09 - Plafonds et aleas'!$B$10*Q67)&lt;=100,"Aucun",IF(Q67&lt;=17,"Matériau / service",IF(Q67&lt;=19,"Incident à résoudre","Quête majeure"))))</x:f>
      </x:c>
      <x:c r="T67" t="str">
        <x:f>IF(AND(M67="",N67="",Q67=""),"",IF(OR(M67="",N67=""),"N ET CATÉGORIE REQUIS",IF(OR(N67&lt;=0,AND(ISNUMBER(O67),O67&gt;=N67)),"NIVEAU INVALIDE",IF(OR(Q67="",Q67&lt;1,Q67&gt;20),"JET REQUIS / INVALIDE","OK"))))</x:f>
      </x:c>
    </x:row>
    <x:row r="68" ht="26" customHeight="1">
      <x:c r="A68" t="str">
        <x:v>Nono</x:v>
      </x:c>
      <x:c r="B68" s="78" t="str">
        <x:v>Anneau de stockage de sort</x:v>
      </x:c>
      <x:c r="C68" t="str">
        <x:v>Achat</x:v>
      </x:c>
      <x:c r="D68" t="n">
        <x:v>3</x:v>
      </x:c>
      <x:c r="E68" t="str">
        <x:v>Rare</x:v>
      </x:c>
      <x:c r="F68" t="str">
        <x:v>Aide dd</x:v>
      </x:c>
      <x:c r="G68" s="60"/>
      <x:c r="H68" s="80" t="n">
        <x:v>4012</x:v>
      </x:c>
      <x:c r="I68" t="str">
        <x:v>Non précisé</x:v>
      </x:c>
      <x:c r="J68"/>
      <x:c r="K68" s="76" t="str">
        <x:v>M: Milo : 4012 | N: 1 lien</x:v>
      </x:c>
      <x:c r="L68" t="str">
        <x:v>Nono!A6:N6</x:v>
      </x:c>
      <x:c r="M68" s="187"/>
      <x:c r="N68" s="187"/>
      <x:c r="O68" s="187"/>
      <x:c r="P68" s="191" t="str">
        <x:f>IF(OR(M68="",N68="",AND(ISNUMBER(O68),O68&gt;=N68)),"",ROUND('02 - Barème'!$B$3*(N68^2-IF(O68="",0,O68)^2)*IF(M68="Arme",1,IF(M68="Armure/bouclier",'02 - Barème'!$B$4,'02 - Barème'!$B$5)),0))</x:f>
      </x:c>
      <x:c r="Q68" s="187"/>
      <x:c r="R68" s="192" t="str">
        <x:f>IF(OR(P68="",T68&lt;&gt;"OK"),"",ROUND(P68*MIN(1,('09 - Plafonds et aleas'!$B$9+'09 - Plafonds et aleas'!$B$10*Q68)/100),0))</x:f>
      </x:c>
      <x:c r="S68" t="str">
        <x:f>IF(T68&lt;&gt;"OK","",IF(('09 - Plafonds et aleas'!$B$9+'09 - Plafonds et aleas'!$B$10*Q68)&lt;=100,"Aucun",IF(Q68&lt;=17,"Matériau / service",IF(Q68&lt;=19,"Incident à résoudre","Quête majeure"))))</x:f>
      </x:c>
      <x:c r="T68" t="str">
        <x:f>IF(AND(M68="",N68="",Q68=""),"",IF(OR(M68="",N68=""),"N ET CATÉGORIE REQUIS",IF(OR(N68&lt;=0,AND(ISNUMBER(O68),O68&gt;=N68)),"NIVEAU INVALIDE",IF(OR(Q68="",Q68&lt;1,Q68&gt;20),"JET REQUIS / INVALIDE","OK"))))</x:f>
      </x:c>
    </x:row>
    <x:row r="69" ht="26" customHeight="1">
      <x:c r="A69" t="str">
        <x:v>Nono</x:v>
      </x:c>
      <x:c r="B69" s="78" t="str">
        <x:v>cape d'elfe</x:v>
      </x:c>
      <x:c r="C69" t="str">
        <x:v>Achat</x:v>
      </x:c>
      <x:c r="D69"/>
      <x:c r="E69"/>
      <x:c r="F69" t="str">
        <x:v>Gemmaline</x:v>
      </x:c>
      <x:c r="G69" s="60" t="n">
        <x:v>2500</x:v>
      </x:c>
      <x:c r="H69" s="80"/>
      <x:c r="I69" t="str">
        <x:v>Non précisé</x:v>
      </x:c>
      <x:c r="J69"/>
      <x:c r="K69" s="76" t="str"/>
      <x:c r="L69" t="str">
        <x:v>Nono!A7:N7</x:v>
      </x:c>
      <x:c r="M69" s="187"/>
      <x:c r="N69" s="187"/>
      <x:c r="O69" s="187"/>
      <x:c r="P69" s="191" t="str">
        <x:f>IF(OR(M69="",N69="",AND(ISNUMBER(O69),O69&gt;=N69)),"",ROUND('02 - Barème'!$B$3*(N69^2-IF(O69="",0,O69)^2)*IF(M69="Arme",1,IF(M69="Armure/bouclier",'02 - Barème'!$B$4,'02 - Barème'!$B$5)),0))</x:f>
      </x:c>
      <x:c r="Q69" s="187"/>
      <x:c r="R69" s="192" t="str">
        <x:f>IF(OR(P69="",T69&lt;&gt;"OK"),"",ROUND(P69*MIN(1,('09 - Plafonds et aleas'!$B$9+'09 - Plafonds et aleas'!$B$10*Q69)/100),0))</x:f>
      </x:c>
      <x:c r="S69" t="str">
        <x:f>IF(T69&lt;&gt;"OK","",IF(('09 - Plafonds et aleas'!$B$9+'09 - Plafonds et aleas'!$B$10*Q69)&lt;=100,"Aucun",IF(Q69&lt;=17,"Matériau / service",IF(Q69&lt;=19,"Incident à résoudre","Quête majeure"))))</x:f>
      </x:c>
      <x:c r="T69" t="str">
        <x:f>IF(AND(M69="",N69="",Q69=""),"",IF(OR(M69="",N69=""),"N ET CATÉGORIE REQUIS",IF(OR(N69&lt;=0,AND(ISNUMBER(O69),O69&gt;=N69)),"NIVEAU INVALIDE",IF(OR(Q69="",Q69&lt;1,Q69&gt;20),"JET REQUIS / INVALIDE","OK"))))</x:f>
      </x:c>
    </x:row>
    <x:row r="70" ht="26" customHeight="1">
      <x:c r="A70" t="str">
        <x:v>Nono</x:v>
      </x:c>
      <x:c r="B70" s="78" t="str">
        <x:v>botte d'elfe</x:v>
      </x:c>
      <x:c r="C70" t="str">
        <x:v>Achat</x:v>
      </x:c>
      <x:c r="D70"/>
      <x:c r="E70"/>
      <x:c r="F70" t="str">
        <x:v>Gemmaline</x:v>
      </x:c>
      <x:c r="G70" s="60" t="n">
        <x:v>2500</x:v>
      </x:c>
      <x:c r="H70" s="80"/>
      <x:c r="I70" t="str">
        <x:v>Non précisé</x:v>
      </x:c>
      <x:c r="J70"/>
      <x:c r="K70" s="76" t="str"/>
      <x:c r="L70" t="str">
        <x:v>Nono!A8:N8</x:v>
      </x:c>
      <x:c r="M70" s="187"/>
      <x:c r="N70" s="187"/>
      <x:c r="O70" s="187"/>
      <x:c r="P70" s="191" t="str">
        <x:f>IF(OR(M70="",N70="",AND(ISNUMBER(O70),O70&gt;=N70)),"",ROUND('02 - Barème'!$B$3*(N70^2-IF(O70="",0,O70)^2)*IF(M70="Arme",1,IF(M70="Armure/bouclier",'02 - Barème'!$B$4,'02 - Barème'!$B$5)),0))</x:f>
      </x:c>
      <x:c r="Q70" s="187"/>
      <x:c r="R70" s="192" t="str">
        <x:f>IF(OR(P70="",T70&lt;&gt;"OK"),"",ROUND(P70*MIN(1,('09 - Plafonds et aleas'!$B$9+'09 - Plafonds et aleas'!$B$10*Q70)/100),0))</x:f>
      </x:c>
      <x:c r="S70" t="str">
        <x:f>IF(T70&lt;&gt;"OK","",IF(('09 - Plafonds et aleas'!$B$9+'09 - Plafonds et aleas'!$B$10*Q70)&lt;=100,"Aucun",IF(Q70&lt;=17,"Matériau / service",IF(Q70&lt;=19,"Incident à résoudre","Quête majeure"))))</x:f>
      </x:c>
      <x:c r="T70" t="str">
        <x:f>IF(AND(M70="",N70="",Q70=""),"",IF(OR(M70="",N70=""),"N ET CATÉGORIE REQUIS",IF(OR(N70&lt;=0,AND(ISNUMBER(O70),O70&gt;=N70)),"NIVEAU INVALIDE",IF(OR(Q70="",Q70&lt;1,Q70&gt;20),"JET REQUIS / INVALIDE","OK"))))</x:f>
      </x:c>
    </x:row>
    <x:row r="71" ht="26" customHeight="1">
      <x:c r="A71" t="str">
        <x:v>Nono</x:v>
      </x:c>
      <x:c r="B71" s="78" t="str">
        <x:v>Bâton de guérison</x:v>
      </x:c>
      <x:c r="C71" t="str">
        <x:v>Achat</x:v>
      </x:c>
      <x:c r="D71"/>
      <x:c r="E71" t="str">
        <x:v>Rare</x:v>
      </x:c>
      <x:c r="F71" t="str">
        <x:v>Aide dd</x:v>
      </x:c>
      <x:c r="G71" s="60"/>
      <x:c r="H71" s="80"/>
      <x:c r="I71" t="str">
        <x:v>Non</x:v>
      </x:c>
      <x:c r="J71"/>
      <x:c r="K71" s="76" t="str"/>
      <x:c r="L71" t="str">
        <x:v>Nono!A9:N9</x:v>
      </x:c>
      <x:c r="M71" s="187"/>
      <x:c r="N71" s="187"/>
      <x:c r="O71" s="187"/>
      <x:c r="P71" s="191" t="str">
        <x:f>IF(OR(M71="",N71="",AND(ISNUMBER(O71),O71&gt;=N71)),"",ROUND('02 - Barème'!$B$3*(N71^2-IF(O71="",0,O71)^2)*IF(M71="Arme",1,IF(M71="Armure/bouclier",'02 - Barème'!$B$4,'02 - Barème'!$B$5)),0))</x:f>
      </x:c>
      <x:c r="Q71" s="187"/>
      <x:c r="R71" s="192" t="str">
        <x:f>IF(OR(P71="",T71&lt;&gt;"OK"),"",ROUND(P71*MIN(1,('09 - Plafonds et aleas'!$B$9+'09 - Plafonds et aleas'!$B$10*Q71)/100),0))</x:f>
      </x:c>
      <x:c r="S71" t="str">
        <x:f>IF(T71&lt;&gt;"OK","",IF(('09 - Plafonds et aleas'!$B$9+'09 - Plafonds et aleas'!$B$10*Q71)&lt;=100,"Aucun",IF(Q71&lt;=17,"Matériau / service",IF(Q71&lt;=19,"Incident à résoudre","Quête majeure"))))</x:f>
      </x:c>
      <x:c r="T71" t="str">
        <x:f>IF(AND(M71="",N71="",Q71=""),"",IF(OR(M71="",N71=""),"N ET CATÉGORIE REQUIS",IF(OR(N71&lt;=0,AND(ISNUMBER(O71),O71&gt;=N71)),"NIVEAU INVALIDE",IF(OR(Q71="",Q71&lt;1,Q71&gt;20),"JET REQUIS / INVALIDE","OK"))))</x:f>
      </x:c>
    </x:row>
    <x:row r="72" ht="26" customHeight="1">
      <x:c r="A72" t="str">
        <x:v>Nono</x:v>
      </x:c>
      <x:c r="B72" s="78" t="str">
        <x:v>Gants antiprojectile</x:v>
      </x:c>
      <x:c r="C72" t="str">
        <x:v>Achat</x:v>
      </x:c>
      <x:c r="D72"/>
      <x:c r="E72" t="str">
        <x:v>Peu commun</x:v>
      </x:c>
      <x:c r="F72" t="str">
        <x:v>Aide dd</x:v>
      </x:c>
      <x:c r="G72" s="60"/>
      <x:c r="H72" s="80"/>
      <x:c r="I72" t="str">
        <x:v>Non précisé</x:v>
      </x:c>
      <x:c r="J72"/>
      <x:c r="K72" s="76" t="str"/>
      <x:c r="L72" t="str">
        <x:v>Nono!A10:N10</x:v>
      </x:c>
      <x:c r="M72" s="187"/>
      <x:c r="N72" s="187"/>
      <x:c r="O72" s="187"/>
      <x:c r="P72" s="191" t="str">
        <x:f>IF(OR(M72="",N72="",AND(ISNUMBER(O72),O72&gt;=N72)),"",ROUND('02 - Barème'!$B$3*(N72^2-IF(O72="",0,O72)^2)*IF(M72="Arme",1,IF(M72="Armure/bouclier",'02 - Barème'!$B$4,'02 - Barème'!$B$5)),0))</x:f>
      </x:c>
      <x:c r="Q72" s="187"/>
      <x:c r="R72" s="192" t="str">
        <x:f>IF(OR(P72="",T72&lt;&gt;"OK"),"",ROUND(P72*MIN(1,('09 - Plafonds et aleas'!$B$9+'09 - Plafonds et aleas'!$B$10*Q72)/100),0))</x:f>
      </x:c>
      <x:c r="S72" t="str">
        <x:f>IF(T72&lt;&gt;"OK","",IF(('09 - Plafonds et aleas'!$B$9+'09 - Plafonds et aleas'!$B$10*Q72)&lt;=100,"Aucun",IF(Q72&lt;=17,"Matériau / service",IF(Q72&lt;=19,"Incident à résoudre","Quête majeure"))))</x:f>
      </x:c>
      <x:c r="T72" t="str">
        <x:f>IF(AND(M72="",N72="",Q72=""),"",IF(OR(M72="",N72=""),"N ET CATÉGORIE REQUIS",IF(OR(N72&lt;=0,AND(ISNUMBER(O72),O72&gt;=N72)),"NIVEAU INVALIDE",IF(OR(Q72="",Q72&lt;1,Q72&gt;20),"JET REQUIS / INVALIDE","OK"))))</x:f>
      </x:c>
    </x:row>
    <x:row r="73" ht="26" customHeight="1">
      <x:c r="A73" t="str">
        <x:v>Nono</x:v>
      </x:c>
      <x:c r="B73" s="78" t="str">
        <x:v>Forme animale sur mon armure de cuir</x:v>
      </x:c>
      <x:c r="C73" t="str">
        <x:v>Forge</x:v>
      </x:c>
      <x:c r="D73"/>
      <x:c r="E73"/>
      <x:c r="F73" t="str">
        <x:v>Gemmaline</x:v>
      </x:c>
      <x:c r="G73" s="60"/>
      <x:c r="H73" s="80"/>
      <x:c r="I73" t="str">
        <x:v>Non précisé</x:v>
      </x:c>
      <x:c r="J73"/>
      <x:c r="K73" s="76" t="str">
        <x:v>L: Armure de cuir clouté + 2 7600 | M: FA 21250 | N: 1 lien | E source: Bonus +3</x:v>
      </x:c>
      <x:c r="L73" t="str">
        <x:v>Nono!A11:N11</x:v>
      </x:c>
      <x:c r="M73" s="187"/>
      <x:c r="N73" s="187"/>
      <x:c r="O73" s="187"/>
      <x:c r="P73" s="191" t="str">
        <x:f>IF(OR(M73="",N73="",AND(ISNUMBER(O73),O73&gt;=N73)),"",ROUND('02 - Barème'!$B$3*(N73^2-IF(O73="",0,O73)^2)*IF(M73="Arme",1,IF(M73="Armure/bouclier",'02 - Barème'!$B$4,'02 - Barème'!$B$5)),0))</x:f>
      </x:c>
      <x:c r="Q73" s="187"/>
      <x:c r="R73" s="192" t="str">
        <x:f>IF(OR(P73="",T73&lt;&gt;"OK"),"",ROUND(P73*MIN(1,('09 - Plafonds et aleas'!$B$9+'09 - Plafonds et aleas'!$B$10*Q73)/100),0))</x:f>
      </x:c>
      <x:c r="S73" t="str">
        <x:f>IF(T73&lt;&gt;"OK","",IF(('09 - Plafonds et aleas'!$B$9+'09 - Plafonds et aleas'!$B$10*Q73)&lt;=100,"Aucun",IF(Q73&lt;=17,"Matériau / service",IF(Q73&lt;=19,"Incident à résoudre","Quête majeure"))))</x:f>
      </x:c>
      <x:c r="T73" t="str">
        <x:f>IF(AND(M73="",N73="",Q73=""),"",IF(OR(M73="",N73=""),"N ET CATÉGORIE REQUIS",IF(OR(N73&lt;=0,AND(ISNUMBER(O73),O73&gt;=N73)),"NIVEAU INVALIDE",IF(OR(Q73="",Q73&lt;1,Q73&gt;20),"JET REQUIS / INVALIDE","OK"))))</x:f>
      </x:c>
    </x:row>
    <x:row r="74" ht="26" customHeight="1">
      <x:c r="A74" t="str">
        <x:v>Nono</x:v>
      </x:c>
      <x:c r="B74" s="78" t="str">
        <x:v>Forme animale sur mon bouclier</x:v>
      </x:c>
      <x:c r="C74" t="str">
        <x:v>Forge</x:v>
      </x:c>
      <x:c r="D74"/>
      <x:c r="E74"/>
      <x:c r="F74" t="str">
        <x:v>Gemmaline</x:v>
      </x:c>
      <x:c r="G74" s="60"/>
      <x:c r="H74" s="80"/>
      <x:c r="I74" t="str">
        <x:v>Non précisé</x:v>
      </x:c>
      <x:c r="J74"/>
      <x:c r="K74" s="76" t="str">
        <x:v>E source: Bonus +3</x:v>
      </x:c>
      <x:c r="L74" t="str">
        <x:v>Nono!A12:N12</x:v>
      </x:c>
      <x:c r="M74" s="187"/>
      <x:c r="N74" s="187"/>
      <x:c r="O74" s="187"/>
      <x:c r="P74" s="191" t="str">
        <x:f>IF(OR(M74="",N74="",AND(ISNUMBER(O74),O74&gt;=N74)),"",ROUND('02 - Barème'!$B$3*(N74^2-IF(O74="",0,O74)^2)*IF(M74="Arme",1,IF(M74="Armure/bouclier",'02 - Barème'!$B$4,'02 - Barème'!$B$5)),0))</x:f>
      </x:c>
      <x:c r="Q74" s="187"/>
      <x:c r="R74" s="192" t="str">
        <x:f>IF(OR(P74="",T74&lt;&gt;"OK"),"",ROUND(P74*MIN(1,('09 - Plafonds et aleas'!$B$9+'09 - Plafonds et aleas'!$B$10*Q74)/100),0))</x:f>
      </x:c>
      <x:c r="S74" t="str">
        <x:f>IF(T74&lt;&gt;"OK","",IF(('09 - Plafonds et aleas'!$B$9+'09 - Plafonds et aleas'!$B$10*Q74)&lt;=100,"Aucun",IF(Q74&lt;=17,"Matériau / service",IF(Q74&lt;=19,"Incident à résoudre","Quête majeure"))))</x:f>
      </x:c>
      <x:c r="T74" t="str">
        <x:f>IF(AND(M74="",N74="",Q74=""),"",IF(OR(M74="",N74=""),"N ET CATÉGORIE REQUIS",IF(OR(N74&lt;=0,AND(ISNUMBER(O74),O74&gt;=N74)),"NIVEAU INVALIDE",IF(OR(Q74="",Q74&lt;1,Q74&gt;20),"JET REQUIS / INVALIDE","OK"))))</x:f>
      </x:c>
    </x:row>
    <x:row r="75" ht="26" customHeight="1">
      <x:c r="A75" t="str">
        <x:v>Nono</x:v>
      </x:c>
      <x:c r="B75" s="78" t="str">
        <x:v>armure de cuir clouté +2 ( si le prix est raisonnable)</x:v>
      </x:c>
      <x:c r="C75" t="str">
        <x:v>Forge</x:v>
      </x:c>
      <x:c r="D75" t="n">
        <x:v>5</x:v>
      </x:c>
      <x:c r="E75"/>
      <x:c r="F75"/>
      <x:c r="G75" s="60"/>
      <x:c r="H75" s="80" t="n">
        <x:v>0</x:v>
      </x:c>
      <x:c r="I75" t="str">
        <x:v>Non précisé</x:v>
      </x:c>
      <x:c r="J75"/>
      <x:c r="K75" s="76" t="str"/>
      <x:c r="L75" t="str">
        <x:v>Nono!A13:N13</x:v>
      </x:c>
      <x:c r="M75" s="187"/>
      <x:c r="N75" s="187"/>
      <x:c r="O75" s="187"/>
      <x:c r="P75" s="191" t="str">
        <x:f>IF(OR(M75="",N75="",AND(ISNUMBER(O75),O75&gt;=N75)),"",ROUND('02 - Barème'!$B$3*(N75^2-IF(O75="",0,O75)^2)*IF(M75="Arme",1,IF(M75="Armure/bouclier",'02 - Barème'!$B$4,'02 - Barème'!$B$5)),0))</x:f>
      </x:c>
      <x:c r="Q75" s="187"/>
      <x:c r="R75" s="192" t="str">
        <x:f>IF(OR(P75="",T75&lt;&gt;"OK"),"",ROUND(P75*MIN(1,('09 - Plafonds et aleas'!$B$9+'09 - Plafonds et aleas'!$B$10*Q75)/100),0))</x:f>
      </x:c>
      <x:c r="S75" t="str">
        <x:f>IF(T75&lt;&gt;"OK","",IF(('09 - Plafonds et aleas'!$B$9+'09 - Plafonds et aleas'!$B$10*Q75)&lt;=100,"Aucun",IF(Q75&lt;=17,"Matériau / service",IF(Q75&lt;=19,"Incident à résoudre","Quête majeure"))))</x:f>
      </x:c>
      <x:c r="T75" t="str">
        <x:f>IF(AND(M75="",N75="",Q75=""),"",IF(OR(M75="",N75=""),"N ET CATÉGORIE REQUIS",IF(OR(N75&lt;=0,AND(ISNUMBER(O75),O75&gt;=N75)),"NIVEAU INVALIDE",IF(OR(Q75="",Q75&lt;1,Q75&gt;20),"JET REQUIS / INVALIDE","OK"))))</x:f>
      </x:c>
    </x:row>
    <x:row r="76" ht="26" customHeight="1">
      <x:c r="A76" t="str">
        <x:v>Nono</x:v>
      </x:c>
      <x:c r="B76" s="78" t="str">
        <x:v>Sac sans fond</x:v>
      </x:c>
      <x:c r="C76" t="str">
        <x:v>Achat</x:v>
      </x:c>
      <x:c r="D76" t="n">
        <x:v>6</x:v>
      </x:c>
      <x:c r="E76"/>
      <x:c r="F76"/>
      <x:c r="G76" s="60"/>
      <x:c r="H76" s="80" t="n">
        <x:v>0</x:v>
      </x:c>
      <x:c r="I76" t="str">
        <x:v>Non précisé</x:v>
      </x:c>
      <x:c r="J76"/>
      <x:c r="K76" s="76" t="str"/>
      <x:c r="L76" t="str">
        <x:v>Nono!A14:N14</x:v>
      </x:c>
      <x:c r="M76" s="187"/>
      <x:c r="N76" s="187"/>
      <x:c r="O76" s="187"/>
      <x:c r="P76" s="191" t="str">
        <x:f>IF(OR(M76="",N76="",AND(ISNUMBER(O76),O76&gt;=N76)),"",ROUND('02 - Barème'!$B$3*(N76^2-IF(O76="",0,O76)^2)*IF(M76="Arme",1,IF(M76="Armure/bouclier",'02 - Barème'!$B$4,'02 - Barème'!$B$5)),0))</x:f>
      </x:c>
      <x:c r="Q76" s="187"/>
      <x:c r="R76" s="192" t="str">
        <x:f>IF(OR(P76="",T76&lt;&gt;"OK"),"",ROUND(P76*MIN(1,('09 - Plafonds et aleas'!$B$9+'09 - Plafonds et aleas'!$B$10*Q76)/100),0))</x:f>
      </x:c>
      <x:c r="S76" t="str">
        <x:f>IF(T76&lt;&gt;"OK","",IF(('09 - Plafonds et aleas'!$B$9+'09 - Plafonds et aleas'!$B$10*Q76)&lt;=100,"Aucun",IF(Q76&lt;=17,"Matériau / service",IF(Q76&lt;=19,"Incident à résoudre","Quête majeure"))))</x:f>
      </x:c>
      <x:c r="T76" t="str">
        <x:f>IF(AND(M76="",N76="",Q76=""),"",IF(OR(M76="",N76=""),"N ET CATÉGORIE REQUIS",IF(OR(N76&lt;=0,AND(ISNUMBER(O76),O76&gt;=N76)),"NIVEAU INVALIDE",IF(OR(Q76="",Q76&lt;1,Q76&gt;20),"JET REQUIS / INVALIDE","OK"))))</x:f>
      </x:c>
    </x:row>
    <x:row r="77" ht="26" customHeight="1">
      <x:c r="A77" t="str">
        <x:v>Nono</x:v>
      </x:c>
      <x:c r="B77" s="78" t="str">
        <x:v>kit herboriste</x:v>
      </x:c>
      <x:c r="C77" t="str">
        <x:v>Achat</x:v>
      </x:c>
      <x:c r="D77" t="n">
        <x:v>7</x:v>
      </x:c>
      <x:c r="E77"/>
      <x:c r="F77"/>
      <x:c r="G77" s="60"/>
      <x:c r="H77" s="80" t="n">
        <x:v>5</x:v>
      </x:c>
      <x:c r="I77" t="str">
        <x:v>Non précisé</x:v>
      </x:c>
      <x:c r="J77"/>
      <x:c r="K77" s="76" t="str"/>
      <x:c r="L77" t="str">
        <x:v>Nono!A15:N15</x:v>
      </x:c>
      <x:c r="M77" s="187"/>
      <x:c r="N77" s="187"/>
      <x:c r="O77" s="187"/>
      <x:c r="P77" s="191" t="str">
        <x:f>IF(OR(M77="",N77="",AND(ISNUMBER(O77),O77&gt;=N77)),"",ROUND('02 - Barème'!$B$3*(N77^2-IF(O77="",0,O77)^2)*IF(M77="Arme",1,IF(M77="Armure/bouclier",'02 - Barème'!$B$4,'02 - Barème'!$B$5)),0))</x:f>
      </x:c>
      <x:c r="Q77" s="187"/>
      <x:c r="R77" s="192" t="str">
        <x:f>IF(OR(P77="",T77&lt;&gt;"OK"),"",ROUND(P77*MIN(1,('09 - Plafonds et aleas'!$B$9+'09 - Plafonds et aleas'!$B$10*Q77)/100),0))</x:f>
      </x:c>
      <x:c r="S77" t="str">
        <x:f>IF(T77&lt;&gt;"OK","",IF(('09 - Plafonds et aleas'!$B$9+'09 - Plafonds et aleas'!$B$10*Q77)&lt;=100,"Aucun",IF(Q77&lt;=17,"Matériau / service",IF(Q77&lt;=19,"Incident à résoudre","Quête majeure"))))</x:f>
      </x:c>
      <x:c r="T77" t="str">
        <x:f>IF(AND(M77="",N77="",Q77=""),"",IF(OR(M77="",N77=""),"N ET CATÉGORIE REQUIS",IF(OR(N77&lt;=0,AND(ISNUMBER(O77),O77&gt;=N77)),"NIVEAU INVALIDE",IF(OR(Q77="",Q77&lt;1,Q77&gt;20),"JET REQUIS / INVALIDE","OK"))))</x:f>
      </x:c>
    </x:row>
    <x:row r="78" ht="26" customHeight="1">
      <x:c r="A78" t="str">
        <x:v>Nono</x:v>
      </x:c>
      <x:c r="B78" s="78" t="str">
        <x:v>Corde d'escalade ( peu commun) pour me débrouiller quand je suis seule sans utiliser mes transformations</x:v>
      </x:c>
      <x:c r="C78" t="str">
        <x:v>Achat</x:v>
      </x:c>
      <x:c r="D78" t="n">
        <x:v>8</x:v>
      </x:c>
      <x:c r="E78"/>
      <x:c r="F78"/>
      <x:c r="G78" s="60"/>
      <x:c r="H78" s="80" t="n">
        <x:v>0</x:v>
      </x:c>
      <x:c r="I78" t="str">
        <x:v>Non précisé</x:v>
      </x:c>
      <x:c r="J78"/>
      <x:c r="K78" s="76" t="str"/>
      <x:c r="L78" t="str">
        <x:v>Nono!A16:N16</x:v>
      </x:c>
      <x:c r="M78" s="187"/>
      <x:c r="N78" s="187"/>
      <x:c r="O78" s="187"/>
      <x:c r="P78" s="191" t="str">
        <x:f>IF(OR(M78="",N78="",AND(ISNUMBER(O78),O78&gt;=N78)),"",ROUND('02 - Barème'!$B$3*(N78^2-IF(O78="",0,O78)^2)*IF(M78="Arme",1,IF(M78="Armure/bouclier",'02 - Barème'!$B$4,'02 - Barème'!$B$5)),0))</x:f>
      </x:c>
      <x:c r="Q78" s="187"/>
      <x:c r="R78" s="192" t="str">
        <x:f>IF(OR(P78="",T78&lt;&gt;"OK"),"",ROUND(P78*MIN(1,('09 - Plafonds et aleas'!$B$9+'09 - Plafonds et aleas'!$B$10*Q78)/100),0))</x:f>
      </x:c>
      <x:c r="S78" t="str">
        <x:f>IF(T78&lt;&gt;"OK","",IF(('09 - Plafonds et aleas'!$B$9+'09 - Plafonds et aleas'!$B$10*Q78)&lt;=100,"Aucun",IF(Q78&lt;=17,"Matériau / service",IF(Q78&lt;=19,"Incident à résoudre","Quête majeure"))))</x:f>
      </x:c>
      <x:c r="T78" t="str">
        <x:f>IF(AND(M78="",N78="",Q78=""),"",IF(OR(M78="",N78=""),"N ET CATÉGORIE REQUIS",IF(OR(N78&lt;=0,AND(ISNUMBER(O78),O78&gt;=N78)),"NIVEAU INVALIDE",IF(OR(Q78="",Q78&lt;1,Q78&gt;20),"JET REQUIS / INVALIDE","OK"))))</x:f>
      </x:c>
    </x:row>
    <x:row r="79" ht="26" customHeight="1">
      <x:c r="A79" t="str">
        <x:v>Nono</x:v>
      </x:c>
      <x:c r="B79" s="78" t="str">
        <x:v>Pierre de communication ( peu commun) pour permettre au groupe de communiquer si on split ou pour communiquer avec les autres si pb quand je pars seule ( portée illimitée)</x:v>
      </x:c>
      <x:c r="C79" t="str">
        <x:v>Achat</x:v>
      </x:c>
      <x:c r="D79" t="n">
        <x:v>9</x:v>
      </x:c>
      <x:c r="E79"/>
      <x:c r="F79"/>
      <x:c r="G79" s="60"/>
      <x:c r="H79" s="80" t="n">
        <x:v>0</x:v>
      </x:c>
      <x:c r="I79" t="str">
        <x:v>Non précisé</x:v>
      </x:c>
      <x:c r="J79"/>
      <x:c r="K79" s="76" t="str"/>
      <x:c r="L79" t="str">
        <x:v>Nono!A17:N17</x:v>
      </x:c>
      <x:c r="M79" s="187"/>
      <x:c r="N79" s="187"/>
      <x:c r="O79" s="187"/>
      <x:c r="P79" s="191" t="str">
        <x:f>IF(OR(M79="",N79="",AND(ISNUMBER(O79),O79&gt;=N79)),"",ROUND('02 - Barème'!$B$3*(N79^2-IF(O79="",0,O79)^2)*IF(M79="Arme",1,IF(M79="Armure/bouclier",'02 - Barème'!$B$4,'02 - Barème'!$B$5)),0))</x:f>
      </x:c>
      <x:c r="Q79" s="187"/>
      <x:c r="R79" s="192" t="str">
        <x:f>IF(OR(P79="",T79&lt;&gt;"OK"),"",ROUND(P79*MIN(1,('09 - Plafonds et aleas'!$B$9+'09 - Plafonds et aleas'!$B$10*Q79)/100),0))</x:f>
      </x:c>
      <x:c r="S79" t="str">
        <x:f>IF(T79&lt;&gt;"OK","",IF(('09 - Plafonds et aleas'!$B$9+'09 - Plafonds et aleas'!$B$10*Q79)&lt;=100,"Aucun",IF(Q79&lt;=17,"Matériau / service",IF(Q79&lt;=19,"Incident à résoudre","Quête majeure"))))</x:f>
      </x:c>
      <x:c r="T79" t="str">
        <x:f>IF(AND(M79="",N79="",Q79=""),"",IF(OR(M79="",N79=""),"N ET CATÉGORIE REQUIS",IF(OR(N79&lt;=0,AND(ISNUMBER(O79),O79&gt;=N79)),"NIVEAU INVALIDE",IF(OR(Q79="",Q79&lt;1,Q79&gt;20),"JET REQUIS / INVALIDE","OK"))))</x:f>
      </x:c>
    </x:row>
    <x:row r="80" ht="26" customHeight="1">
      <x:c r="A80" t="str">
        <x:v>Nono</x:v>
      </x:c>
      <x:c r="B80" s="78" t="str">
        <x:v>Potion de soin</x:v>
      </x:c>
      <x:c r="C80" t="str">
        <x:v>Consommable</x:v>
      </x:c>
      <x:c r="D80" t="n">
        <x:v>10</x:v>
      </x:c>
      <x:c r="E80" t="str">
        <x:v>Commun</x:v>
      </x:c>
      <x:c r="F80" t="n">
        <x:v>0</x:v>
      </x:c>
      <x:c r="G80" s="60" t="n">
        <x:v>50</x:v>
      </x:c>
      <x:c r="H80" s="80" t="n">
        <x:v>0</x:v>
      </x:c>
      <x:c r="I80" t="str">
        <x:v>Non précisé</x:v>
      </x:c>
      <x:c r="J80"/>
      <x:c r="K80" s="76" t="str"/>
      <x:c r="L80" t="str">
        <x:v>Nono!A18:N18</x:v>
      </x:c>
      <x:c r="M80" s="187"/>
      <x:c r="N80" s="187"/>
      <x:c r="O80" s="187"/>
      <x:c r="P80" s="191" t="str">
        <x:f>IF(OR(M80="",N80="",AND(ISNUMBER(O80),O80&gt;=N80)),"",ROUND('02 - Barème'!$B$3*(N80^2-IF(O80="",0,O80)^2)*IF(M80="Arme",1,IF(M80="Armure/bouclier",'02 - Barème'!$B$4,'02 - Barème'!$B$5)),0))</x:f>
      </x:c>
      <x:c r="Q80" s="187"/>
      <x:c r="R80" s="192" t="str">
        <x:f>IF(OR(P80="",T80&lt;&gt;"OK"),"",ROUND(P80*MIN(1,('09 - Plafonds et aleas'!$B$9+'09 - Plafonds et aleas'!$B$10*Q80)/100),0))</x:f>
      </x:c>
      <x:c r="S80" t="str">
        <x:f>IF(T80&lt;&gt;"OK","",IF(('09 - Plafonds et aleas'!$B$9+'09 - Plafonds et aleas'!$B$10*Q80)&lt;=100,"Aucun",IF(Q80&lt;=17,"Matériau / service",IF(Q80&lt;=19,"Incident à résoudre","Quête majeure"))))</x:f>
      </x:c>
      <x:c r="T80" t="str">
        <x:f>IF(AND(M80="",N80="",Q80=""),"",IF(OR(M80="",N80=""),"N ET CATÉGORIE REQUIS",IF(OR(N80&lt;=0,AND(ISNUMBER(O80),O80&gt;=N80)),"NIVEAU INVALIDE",IF(OR(Q80="",Q80&lt;1,Q80&gt;20),"JET REQUIS / INVALIDE","OK"))))</x:f>
      </x:c>
    </x:row>
    <x:row r="81" ht="26" customHeight="1">
      <x:c r="A81" t="str">
        <x:v>Nono</x:v>
      </x:c>
      <x:c r="B81" s="78" t="str">
        <x:v>Potion de soin supérieur</x:v>
      </x:c>
      <x:c r="C81" t="str">
        <x:v>Consommable</x:v>
      </x:c>
      <x:c r="D81"/>
      <x:c r="E81" t="str">
        <x:v>peu commun</x:v>
      </x:c>
      <x:c r="F81" t="n">
        <x:v>0</x:v>
      </x:c>
      <x:c r="G81" s="60" t="n">
        <x:v>500</x:v>
      </x:c>
      <x:c r="H81" s="80" t="n">
        <x:v>0</x:v>
      </x:c>
      <x:c r="I81" t="str">
        <x:v>Non précisé</x:v>
      </x:c>
      <x:c r="J81"/>
      <x:c r="K81" s="76" t="str"/>
      <x:c r="L81" t="str">
        <x:v>Nono!A19:N19</x:v>
      </x:c>
      <x:c r="M81" s="187"/>
      <x:c r="N81" s="187"/>
      <x:c r="O81" s="187"/>
      <x:c r="P81" s="191" t="str">
        <x:f>IF(OR(M81="",N81="",AND(ISNUMBER(O81),O81&gt;=N81)),"",ROUND('02 - Barème'!$B$3*(N81^2-IF(O81="",0,O81)^2)*IF(M81="Arme",1,IF(M81="Armure/bouclier",'02 - Barème'!$B$4,'02 - Barème'!$B$5)),0))</x:f>
      </x:c>
      <x:c r="Q81" s="187"/>
      <x:c r="R81" s="192" t="str">
        <x:f>IF(OR(P81="",T81&lt;&gt;"OK"),"",ROUND(P81*MIN(1,('09 - Plafonds et aleas'!$B$9+'09 - Plafonds et aleas'!$B$10*Q81)/100),0))</x:f>
      </x:c>
      <x:c r="S81" t="str">
        <x:f>IF(T81&lt;&gt;"OK","",IF(('09 - Plafonds et aleas'!$B$9+'09 - Plafonds et aleas'!$B$10*Q81)&lt;=100,"Aucun",IF(Q81&lt;=17,"Matériau / service",IF(Q81&lt;=19,"Incident à résoudre","Quête majeure"))))</x:f>
      </x:c>
      <x:c r="T81" t="str">
        <x:f>IF(AND(M81="",N81="",Q81=""),"",IF(OR(M81="",N81=""),"N ET CATÉGORIE REQUIS",IF(OR(N81&lt;=0,AND(ISNUMBER(O81),O81&gt;=N81)),"NIVEAU INVALIDE",IF(OR(Q81="",Q81&lt;1,Q81&gt;20),"JET REQUIS / INVALIDE","OK"))))</x:f>
      </x:c>
    </x:row>
    <x:row r="82" ht="26" customHeight="1">
      <x:c r="A82" t="str">
        <x:v>Nono</x:v>
      </x:c>
      <x:c r="B82" s="78" t="str">
        <x:v>Potion de soin majeur</x:v>
      </x:c>
      <x:c r="C82" t="str">
        <x:v>Consommable</x:v>
      </x:c>
      <x:c r="D82"/>
      <x:c r="E82" t="str">
        <x:v>rare</x:v>
      </x:c>
      <x:c r="F82" t="n">
        <x:v>0</x:v>
      </x:c>
      <x:c r="G82" s="60" t="n">
        <x:v>5000</x:v>
      </x:c>
      <x:c r="H82" s="80" t="n">
        <x:v>0</x:v>
      </x:c>
      <x:c r="I82" t="str">
        <x:v>Non précisé</x:v>
      </x:c>
      <x:c r="J82"/>
      <x:c r="K82" s="76" t="str"/>
      <x:c r="L82" t="str">
        <x:v>Nono!A20:N20</x:v>
      </x:c>
      <x:c r="M82" s="187"/>
      <x:c r="N82" s="187"/>
      <x:c r="O82" s="187"/>
      <x:c r="P82" s="191" t="str">
        <x:f>IF(OR(M82="",N82="",AND(ISNUMBER(O82),O82&gt;=N82)),"",ROUND('02 - Barème'!$B$3*(N82^2-IF(O82="",0,O82)^2)*IF(M82="Arme",1,IF(M82="Armure/bouclier",'02 - Barème'!$B$4,'02 - Barème'!$B$5)),0))</x:f>
      </x:c>
      <x:c r="Q82" s="187"/>
      <x:c r="R82" s="192" t="str">
        <x:f>IF(OR(P82="",T82&lt;&gt;"OK"),"",ROUND(P82*MIN(1,('09 - Plafonds et aleas'!$B$9+'09 - Plafonds et aleas'!$B$10*Q82)/100),0))</x:f>
      </x:c>
      <x:c r="S82" t="str">
        <x:f>IF(T82&lt;&gt;"OK","",IF(('09 - Plafonds et aleas'!$B$9+'09 - Plafonds et aleas'!$B$10*Q82)&lt;=100,"Aucun",IF(Q82&lt;=17,"Matériau / service",IF(Q82&lt;=19,"Incident à résoudre","Quête majeure"))))</x:f>
      </x:c>
      <x:c r="T82" t="str">
        <x:f>IF(AND(M82="",N82="",Q82=""),"",IF(OR(M82="",N82=""),"N ET CATÉGORIE REQUIS",IF(OR(N82&lt;=0,AND(ISNUMBER(O82),O82&gt;=N82)),"NIVEAU INVALIDE",IF(OR(Q82="",Q82&lt;1,Q82&gt;20),"JET REQUIS / INVALIDE","OK"))))</x:f>
      </x:c>
    </x:row>
    <x:row r="83" ht="26" customHeight="1">
      <x:c r="A83" t="str">
        <x:v>Nono</x:v>
      </x:c>
      <x:c r="B83" s="78" t="str">
        <x:v>Potion supreme</x:v>
      </x:c>
      <x:c r="C83" t="str">
        <x:v>Consommable</x:v>
      </x:c>
      <x:c r="D83"/>
      <x:c r="E83" t="str">
        <x:v>tres rare</x:v>
      </x:c>
      <x:c r="F83" t="n">
        <x:v>0</x:v>
      </x:c>
      <x:c r="G83" s="60" t="n">
        <x:v>50000</x:v>
      </x:c>
      <x:c r="H83" s="80" t="n">
        <x:v>0</x:v>
      </x:c>
      <x:c r="I83" t="str">
        <x:v>Non précisé</x:v>
      </x:c>
      <x:c r="J83"/>
      <x:c r="K83" s="76" t="str"/>
      <x:c r="L83" t="str">
        <x:v>Nono!A21:N21</x:v>
      </x:c>
      <x:c r="M83" s="187"/>
      <x:c r="N83" s="187"/>
      <x:c r="O83" s="187"/>
      <x:c r="P83" s="191" t="str">
        <x:f>IF(OR(M83="",N83="",AND(ISNUMBER(O83),O83&gt;=N83)),"",ROUND('02 - Barème'!$B$3*(N83^2-IF(O83="",0,O83)^2)*IF(M83="Arme",1,IF(M83="Armure/bouclier",'02 - Barème'!$B$4,'02 - Barème'!$B$5)),0))</x:f>
      </x:c>
      <x:c r="Q83" s="187"/>
      <x:c r="R83" s="192" t="str">
        <x:f>IF(OR(P83="",T83&lt;&gt;"OK"),"",ROUND(P83*MIN(1,('09 - Plafonds et aleas'!$B$9+'09 - Plafonds et aleas'!$B$10*Q83)/100),0))</x:f>
      </x:c>
      <x:c r="S83" t="str">
        <x:f>IF(T83&lt;&gt;"OK","",IF(('09 - Plafonds et aleas'!$B$9+'09 - Plafonds et aleas'!$B$10*Q83)&lt;=100,"Aucun",IF(Q83&lt;=17,"Matériau / service",IF(Q83&lt;=19,"Incident à résoudre","Quête majeure"))))</x:f>
      </x:c>
      <x:c r="T83" t="str">
        <x:f>IF(AND(M83="",N83="",Q83=""),"",IF(OR(M83="",N83=""),"N ET CATÉGORIE REQUIS",IF(OR(N83&lt;=0,AND(ISNUMBER(O83),O83&gt;=N83)),"NIVEAU INVALIDE",IF(OR(Q83="",Q83&lt;1,Q83&gt;20),"JET REQUIS / INVALIDE","OK"))))</x:f>
      </x:c>
    </x:row>
    <x:row r="84" ht="26" customHeight="1">
      <x:c r="A84" t="str">
        <x:v>Nono</x:v>
      </x:c>
      <x:c r="B84" s="78" t="str">
        <x:v>quelques paquets de poussière de disparition ( peu commun)</x:v>
      </x:c>
      <x:c r="C84" t="str">
        <x:v>Consommable</x:v>
      </x:c>
      <x:c r="D84" t="n">
        <x:v>11</x:v>
      </x:c>
      <x:c r="E84"/>
      <x:c r="F84" t="n">
        <x:v>0</x:v>
      </x:c>
      <x:c r="G84" s="60"/>
      <x:c r="H84" s="80" t="n">
        <x:v>0</x:v>
      </x:c>
      <x:c r="I84" t="str">
        <x:v>Non précisé</x:v>
      </x:c>
      <x:c r="J84"/>
      <x:c r="K84" s="76" t="str">
        <x:v>E source: 250</x:v>
      </x:c>
      <x:c r="L84" t="str">
        <x:v>Nono!A22:N22</x:v>
      </x:c>
      <x:c r="M84" s="187"/>
      <x:c r="N84" s="187"/>
      <x:c r="O84" s="187"/>
      <x:c r="P84" s="191" t="str">
        <x:f>IF(OR(M84="",N84="",AND(ISNUMBER(O84),O84&gt;=N84)),"",ROUND('02 - Barème'!$B$3*(N84^2-IF(O84="",0,O84)^2)*IF(M84="Arme",1,IF(M84="Armure/bouclier",'02 - Barème'!$B$4,'02 - Barème'!$B$5)),0))</x:f>
      </x:c>
      <x:c r="Q84" s="187"/>
      <x:c r="R84" s="192" t="str">
        <x:f>IF(OR(P84="",T84&lt;&gt;"OK"),"",ROUND(P84*MIN(1,('09 - Plafonds et aleas'!$B$9+'09 - Plafonds et aleas'!$B$10*Q84)/100),0))</x:f>
      </x:c>
      <x:c r="S84" t="str">
        <x:f>IF(T84&lt;&gt;"OK","",IF(('09 - Plafonds et aleas'!$B$9+'09 - Plafonds et aleas'!$B$10*Q84)&lt;=100,"Aucun",IF(Q84&lt;=17,"Matériau / service",IF(Q84&lt;=19,"Incident à résoudre","Quête majeure"))))</x:f>
      </x:c>
      <x:c r="T84" t="str">
        <x:f>IF(AND(M84="",N84="",Q84=""),"",IF(OR(M84="",N84=""),"N ET CATÉGORIE REQUIS",IF(OR(N84&lt;=0,AND(ISNUMBER(O84),O84&gt;=N84)),"NIVEAU INVALIDE",IF(OR(Q84="",Q84&lt;1,Q84&gt;20),"JET REQUIS / INVALIDE","OK"))))</x:f>
      </x:c>
    </x:row>
    <x:row r="85" ht="26" customHeight="1">
      <x:c r="A85" t="str">
        <x:v>Nono</x:v>
      </x:c>
      <x:c r="B85" s="78" t="str">
        <x:v>Baguette de détection de la magie ( peu commun) , je ne compte pas préparer le sort et au final personne ne va le préparer donc ça peut servir et je n'ai pas besoin d'avoir la baguette en main sauf quand besoin.</x:v>
      </x:c>
      <x:c r="C85" t="str">
        <x:v>Achat</x:v>
      </x:c>
      <x:c r="D85" t="n">
        <x:v>12</x:v>
      </x:c>
      <x:c r="E85"/>
      <x:c r="F85" t="n">
        <x:v>0</x:v>
      </x:c>
      <x:c r="G85" s="60"/>
      <x:c r="H85" s="80" t="n">
        <x:v>0</x:v>
      </x:c>
      <x:c r="I85" t="str">
        <x:v>Non précisé</x:v>
      </x:c>
      <x:c r="J85"/>
      <x:c r="K85" s="76" t="str"/>
      <x:c r="L85" t="str">
        <x:v>Nono!A23:N23</x:v>
      </x:c>
      <x:c r="M85" s="187"/>
      <x:c r="N85" s="187"/>
      <x:c r="O85" s="187"/>
      <x:c r="P85" s="191" t="str">
        <x:f>IF(OR(M85="",N85="",AND(ISNUMBER(O85),O85&gt;=N85)),"",ROUND('02 - Barème'!$B$3*(N85^2-IF(O85="",0,O85)^2)*IF(M85="Arme",1,IF(M85="Armure/bouclier",'02 - Barème'!$B$4,'02 - Barème'!$B$5)),0))</x:f>
      </x:c>
      <x:c r="Q85" s="187"/>
      <x:c r="R85" s="192" t="str">
        <x:f>IF(OR(P85="",T85&lt;&gt;"OK"),"",ROUND(P85*MIN(1,('09 - Plafonds et aleas'!$B$9+'09 - Plafonds et aleas'!$B$10*Q85)/100),0))</x:f>
      </x:c>
      <x:c r="S85" t="str">
        <x:f>IF(T85&lt;&gt;"OK","",IF(('09 - Plafonds et aleas'!$B$9+'09 - Plafonds et aleas'!$B$10*Q85)&lt;=100,"Aucun",IF(Q85&lt;=17,"Matériau / service",IF(Q85&lt;=19,"Incident à résoudre","Quête majeure"))))</x:f>
      </x:c>
      <x:c r="T85" t="str">
        <x:f>IF(AND(M85="",N85="",Q85=""),"",IF(OR(M85="",N85=""),"N ET CATÉGORIE REQUIS",IF(OR(N85&lt;=0,AND(ISNUMBER(O85),O85&gt;=N85)),"NIVEAU INVALIDE",IF(OR(Q85="",Q85&lt;1,Q85&gt;20),"JET REQUIS / INVALIDE","OK"))))</x:f>
      </x:c>
    </x:row>
    <x:row r="86" ht="26" customHeight="1">
      <x:c r="A86" t="str">
        <x:v>Nono</x:v>
      </x:c>
      <x:c r="B86" s="78" t="str">
        <x:v>Des contenants pour les décoction et macération</x:v>
      </x:c>
      <x:c r="C86" t="str">
        <x:v>Achat</x:v>
      </x:c>
      <x:c r="D86" t="n">
        <x:v>13</x:v>
      </x:c>
      <x:c r="E86"/>
      <x:c r="F86"/>
      <x:c r="G86" s="60"/>
      <x:c r="H86" s="80"/>
      <x:c r="I86" t="str">
        <x:v>Non précisé</x:v>
      </x:c>
      <x:c r="J86"/>
      <x:c r="K86" s="76" t="str"/>
      <x:c r="L86" t="str">
        <x:v>Nono!A24:N24</x:v>
      </x:c>
      <x:c r="M86" s="187"/>
      <x:c r="N86" s="187"/>
      <x:c r="O86" s="187"/>
      <x:c r="P86" s="191" t="str">
        <x:f>IF(OR(M86="",N86="",AND(ISNUMBER(O86),O86&gt;=N86)),"",ROUND('02 - Barème'!$B$3*(N86^2-IF(O86="",0,O86)^2)*IF(M86="Arme",1,IF(M86="Armure/bouclier",'02 - Barème'!$B$4,'02 - Barème'!$B$5)),0))</x:f>
      </x:c>
      <x:c r="Q86" s="187"/>
      <x:c r="R86" s="192" t="str">
        <x:f>IF(OR(P86="",T86&lt;&gt;"OK"),"",ROUND(P86*MIN(1,('09 - Plafonds et aleas'!$B$9+'09 - Plafonds et aleas'!$B$10*Q86)/100),0))</x:f>
      </x:c>
      <x:c r="S86" t="str">
        <x:f>IF(T86&lt;&gt;"OK","",IF(('09 - Plafonds et aleas'!$B$9+'09 - Plafonds et aleas'!$B$10*Q86)&lt;=100,"Aucun",IF(Q86&lt;=17,"Matériau / service",IF(Q86&lt;=19,"Incident à résoudre","Quête majeure"))))</x:f>
      </x:c>
      <x:c r="T86" t="str">
        <x:f>IF(AND(M86="",N86="",Q86=""),"",IF(OR(M86="",N86=""),"N ET CATÉGORIE REQUIS",IF(OR(N86&lt;=0,AND(ISNUMBER(O86),O86&gt;=N86)),"NIVEAU INVALIDE",IF(OR(Q86="",Q86&lt;1,Q86&gt;20),"JET REQUIS / INVALIDE","OK"))))</x:f>
      </x:c>
    </x:row>
    <x:row r="87" ht="26" customHeight="1">
      <x:c r="A87" t="str">
        <x:v>Flo</x:v>
      </x:c>
      <x:c r="B87" s="78" t="str">
        <x:v>Bouclier +2</x:v>
      </x:c>
      <x:c r="C87" t="str">
        <x:v>Achat</x:v>
      </x:c>
      <x:c r="D87"/>
      <x:c r="E87" t="str">
        <x:v>rare</x:v>
      </x:c>
      <x:c r="F87" t="str">
        <x:v>aidedd</x:v>
      </x:c>
      <x:c r="G87" s="60" t="n">
        <x:v>6375</x:v>
      </x:c>
      <x:c r="H87" s="80"/>
      <x:c r="I87" t="str">
        <x:v>Non précisé</x:v>
      </x:c>
      <x:c r="J87"/>
      <x:c r="K87" s="76" t="str">
        <x:v>Lien ?: Non</x:v>
      </x:c>
      <x:c r="L87" t="str">
        <x:v>Flo!A2:H2</x:v>
      </x:c>
      <x:c r="M87" s="187"/>
      <x:c r="N87" s="187"/>
      <x:c r="O87" s="187"/>
      <x:c r="P87" s="191" t="str">
        <x:f>IF(OR(M87="",N87="",AND(ISNUMBER(O87),O87&gt;=N87)),"",ROUND('02 - Barème'!$B$3*(N87^2-IF(O87="",0,O87)^2)*IF(M87="Arme",1,IF(M87="Armure/bouclier",'02 - Barème'!$B$4,'02 - Barème'!$B$5)),0))</x:f>
      </x:c>
      <x:c r="Q87" s="187"/>
      <x:c r="R87" s="192" t="str">
        <x:f>IF(OR(P87="",T87&lt;&gt;"OK"),"",ROUND(P87*MIN(1,('09 - Plafonds et aleas'!$B$9+'09 - Plafonds et aleas'!$B$10*Q87)/100),0))</x:f>
      </x:c>
      <x:c r="S87" t="str">
        <x:f>IF(T87&lt;&gt;"OK","",IF(('09 - Plafonds et aleas'!$B$9+'09 - Plafonds et aleas'!$B$10*Q87)&lt;=100,"Aucun",IF(Q87&lt;=17,"Matériau / service",IF(Q87&lt;=19,"Incident à résoudre","Quête majeure"))))</x:f>
      </x:c>
      <x:c r="T87" t="str">
        <x:f>IF(AND(M87="",N87="",Q87=""),"",IF(OR(M87="",N87=""),"N ET CATÉGORIE REQUIS",IF(OR(N87&lt;=0,AND(ISNUMBER(O87),O87&gt;=N87)),"NIVEAU INVALIDE",IF(OR(Q87="",Q87&lt;1,Q87&gt;20),"JET REQUIS / INVALIDE","OK"))))</x:f>
      </x:c>
    </x:row>
    <x:row r="88" ht="26" customHeight="1">
      <x:c r="A88" t="str">
        <x:v>Flo</x:v>
      </x:c>
      <x:c r="B88" s="78" t="str">
        <x:v>Cape de déplacement</x:v>
      </x:c>
      <x:c r="C88" t="str">
        <x:v>Achat</x:v>
      </x:c>
      <x:c r="D88"/>
      <x:c r="E88" t="str">
        <x:v>Rare</x:v>
      </x:c>
      <x:c r="F88" t="str">
        <x:v>Aidedd</x:v>
      </x:c>
      <x:c r="G88" s="60" t="n">
        <x:v>2117</x:v>
      </x:c>
      <x:c r="H88" s="80"/>
      <x:c r="I88" t="str">
        <x:v>Non précisé</x:v>
      </x:c>
      <x:c r="J88"/>
      <x:c r="K88" s="76" t="str">
        <x:v>jaune et vert à carreaux | Lien ?: Oui</x:v>
      </x:c>
      <x:c r="L88" t="str">
        <x:v>Flo!A4:H4</x:v>
      </x:c>
      <x:c r="M88" s="187"/>
      <x:c r="N88" s="187"/>
      <x:c r="O88" s="187"/>
      <x:c r="P88" s="191" t="str">
        <x:f>IF(OR(M88="",N88="",AND(ISNUMBER(O88),O88&gt;=N88)),"",ROUND('02 - Barème'!$B$3*(N88^2-IF(O88="",0,O88)^2)*IF(M88="Arme",1,IF(M88="Armure/bouclier",'02 - Barème'!$B$4,'02 - Barème'!$B$5)),0))</x:f>
      </x:c>
      <x:c r="Q88" s="187"/>
      <x:c r="R88" s="192" t="str">
        <x:f>IF(OR(P88="",T88&lt;&gt;"OK"),"",ROUND(P88*MIN(1,('09 - Plafonds et aleas'!$B$9+'09 - Plafonds et aleas'!$B$10*Q88)/100),0))</x:f>
      </x:c>
      <x:c r="S88" t="str">
        <x:f>IF(T88&lt;&gt;"OK","",IF(('09 - Plafonds et aleas'!$B$9+'09 - Plafonds et aleas'!$B$10*Q88)&lt;=100,"Aucun",IF(Q88&lt;=17,"Matériau / service",IF(Q88&lt;=19,"Incident à résoudre","Quête majeure"))))</x:f>
      </x:c>
      <x:c r="T88" t="str">
        <x:f>IF(AND(M88="",N88="",Q88=""),"",IF(OR(M88="",N88=""),"N ET CATÉGORIE REQUIS",IF(OR(N88&lt;=0,AND(ISNUMBER(O88),O88&gt;=N88)),"NIVEAU INVALIDE",IF(OR(Q88="",Q88&lt;1,Q88&gt;20),"JET REQUIS / INVALIDE","OK"))))</x:f>
      </x:c>
    </x:row>
    <x:row r="89" ht="26" customHeight="1">
      <x:c r="A89" t="str">
        <x:v>Flo</x:v>
      </x:c>
      <x:c r="B89" s="78" t="str">
        <x:v>2ifier l'armure (5950)</x:v>
      </x:c>
      <x:c r="C89" t="str">
        <x:v>Forge</x:v>
      </x:c>
      <x:c r="D89"/>
      <x:c r="E89" t="str">
        <x:v>Très rare </x:v>
      </x:c>
      <x:c r="F89" t="str">
        <x:v>Aidedd</x:v>
      </x:c>
      <x:c r="G89" s="60"/>
      <x:c r="H89" s="80"/>
      <x:c r="I89" t="str">
        <x:v>Non précisé</x:v>
      </x:c>
      <x:c r="J89"/>
      <x:c r="K89" s="76" t="str">
        <x:v>-&gt; baton de foudre voirs avec Bazire | Lien ?: non</x:v>
      </x:c>
      <x:c r="L89" t="str">
        <x:v>Flo!A5:H5</x:v>
      </x:c>
      <x:c r="M89" s="187"/>
      <x:c r="N89" s="187"/>
      <x:c r="O89" s="187"/>
      <x:c r="P89" s="191" t="str">
        <x:f>IF(OR(M89="",N89="",AND(ISNUMBER(O89),O89&gt;=N89)),"",ROUND('02 - Barème'!$B$3*(N89^2-IF(O89="",0,O89)^2)*IF(M89="Arme",1,IF(M89="Armure/bouclier",'02 - Barème'!$B$4,'02 - Barème'!$B$5)),0))</x:f>
      </x:c>
      <x:c r="Q89" s="187"/>
      <x:c r="R89" s="192" t="str">
        <x:f>IF(OR(P89="",T89&lt;&gt;"OK"),"",ROUND(P89*MIN(1,('09 - Plafonds et aleas'!$B$9+'09 - Plafonds et aleas'!$B$10*Q89)/100),0))</x:f>
      </x:c>
      <x:c r="S89" t="str">
        <x:f>IF(T89&lt;&gt;"OK","",IF(('09 - Plafonds et aleas'!$B$9+'09 - Plafonds et aleas'!$B$10*Q89)&lt;=100,"Aucun",IF(Q89&lt;=17,"Matériau / service",IF(Q89&lt;=19,"Incident à résoudre","Quête majeure"))))</x:f>
      </x:c>
      <x:c r="T89" t="str">
        <x:f>IF(AND(M89="",N89="",Q89=""),"",IF(OR(M89="",N89=""),"N ET CATÉGORIE REQUIS",IF(OR(N89&lt;=0,AND(ISNUMBER(O89),O89&gt;=N89)),"NIVEAU INVALIDE",IF(OR(Q89="",Q89&lt;1,Q89&gt;20),"JET REQUIS / INVALIDE","OK"))))</x:f>
      </x:c>
    </x:row>
    <x:row r="90" ht="26" customHeight="1">
      <x:c r="A90" t="str">
        <x:v>Flo</x:v>
      </x:c>
      <x:c r="B90" s="78" t="str">
        <x:v>outils de bricoleur</x:v>
      </x:c>
      <x:c r="C90" t="str">
        <x:v>Service / outils</x:v>
      </x:c>
      <x:c r="D90"/>
      <x:c r="E90"/>
      <x:c r="F90" t="str">
        <x:v>AideDD</x:v>
      </x:c>
      <x:c r="G90" s="60"/>
      <x:c r="H90" s="80"/>
      <x:c r="I90" t="str">
        <x:v>Non précisé</x:v>
      </x:c>
      <x:c r="J90"/>
      <x:c r="K90" s="76" t="str">
        <x:v>poura permetre de proposer des petits trics sympa RP dans certaines situations | Valeur source: 50po (outils) + 250PO (1Po/jour pendant 250j pr maîtrise d'outils)</x:v>
      </x:c>
      <x:c r="L90" t="str">
        <x:v>Flo!A6:H6</x:v>
      </x:c>
      <x:c r="M90" s="187"/>
      <x:c r="N90" s="187"/>
      <x:c r="O90" s="187"/>
      <x:c r="P90" s="191" t="str">
        <x:f>IF(OR(M90="",N90="",AND(ISNUMBER(O90),O90&gt;=N90)),"",ROUND('02 - Barème'!$B$3*(N90^2-IF(O90="",0,O90)^2)*IF(M90="Arme",1,IF(M90="Armure/bouclier",'02 - Barème'!$B$4,'02 - Barème'!$B$5)),0))</x:f>
      </x:c>
      <x:c r="Q90" s="187"/>
      <x:c r="R90" s="192" t="str">
        <x:f>IF(OR(P90="",T90&lt;&gt;"OK"),"",ROUND(P90*MIN(1,('09 - Plafonds et aleas'!$B$9+'09 - Plafonds et aleas'!$B$10*Q90)/100),0))</x:f>
      </x:c>
      <x:c r="S90" t="str">
        <x:f>IF(T90&lt;&gt;"OK","",IF(('09 - Plafonds et aleas'!$B$9+'09 - Plafonds et aleas'!$B$10*Q90)&lt;=100,"Aucun",IF(Q90&lt;=17,"Matériau / service",IF(Q90&lt;=19,"Incident à résoudre","Quête majeure"))))</x:f>
      </x:c>
      <x:c r="T90" t="str">
        <x:f>IF(AND(M90="",N90="",Q90=""),"",IF(OR(M90="",N90=""),"N ET CATÉGORIE REQUIS",IF(OR(N90&lt;=0,AND(ISNUMBER(O90),O90&gt;=N90)),"NIVEAU INVALIDE",IF(OR(Q90="",Q90&lt;1,Q90&gt;20),"JET REQUIS / INVALIDE","OK"))))</x:f>
      </x:c>
    </x:row>
    <x:row r="91" ht="26" customHeight="1">
      <x:c r="A91" t="str">
        <x:v>Flo</x:v>
      </x:c>
      <x:c r="B91" s="78" t="str">
        <x:v>anneau stockage sort</x:v>
      </x:c>
      <x:c r="C91" t="str">
        <x:v>Achat</x:v>
      </x:c>
      <x:c r="D91"/>
      <x:c r="E91" t="str">
        <x:v>rare</x:v>
      </x:c>
      <x:c r="F91" t="str">
        <x:v>Aidedd</x:v>
      </x:c>
      <x:c r="G91" s="60" t="n">
        <x:v>3140</x:v>
      </x:c>
      <x:c r="H91" s="80"/>
      <x:c r="I91" t="str">
        <x:v>Non précisé</x:v>
      </x:c>
      <x:c r="J91"/>
      <x:c r="K91" s="76" t="str">
        <x:v>Lien ?: OUi</x:v>
      </x:c>
      <x:c r="L91" t="str">
        <x:v>Flo!A8:H8</x:v>
      </x:c>
      <x:c r="M91" s="187"/>
      <x:c r="N91" s="187"/>
      <x:c r="O91" s="187"/>
      <x:c r="P91" s="191" t="str">
        <x:f>IF(OR(M91="",N91="",AND(ISNUMBER(O91),O91&gt;=N91)),"",ROUND('02 - Barème'!$B$3*(N91^2-IF(O91="",0,O91)^2)*IF(M91="Arme",1,IF(M91="Armure/bouclier",'02 - Barème'!$B$4,'02 - Barème'!$B$5)),0))</x:f>
      </x:c>
      <x:c r="Q91" s="187"/>
      <x:c r="R91" s="192" t="str">
        <x:f>IF(OR(P91="",T91&lt;&gt;"OK"),"",ROUND(P91*MIN(1,('09 - Plafonds et aleas'!$B$9+'09 - Plafonds et aleas'!$B$10*Q91)/100),0))</x:f>
      </x:c>
      <x:c r="S91" t="str">
        <x:f>IF(T91&lt;&gt;"OK","",IF(('09 - Plafonds et aleas'!$B$9+'09 - Plafonds et aleas'!$B$10*Q91)&lt;=100,"Aucun",IF(Q91&lt;=17,"Matériau / service",IF(Q91&lt;=19,"Incident à résoudre","Quête majeure"))))</x:f>
      </x:c>
      <x:c r="T91" t="str">
        <x:f>IF(AND(M91="",N91="",Q91=""),"",IF(OR(M91="",N91=""),"N ET CATÉGORIE REQUIS",IF(OR(N91&lt;=0,AND(ISNUMBER(O91),O91&gt;=N91)),"NIVEAU INVALIDE",IF(OR(Q91="",Q91&lt;1,Q91&gt;20),"JET REQUIS / INVALIDE","OK"))))</x:f>
      </x:c>
    </x:row>
    <x:row r="92" ht="26" customHeight="1">
      <x:c r="A92" t="str">
        <x:v>Flo</x:v>
      </x:c>
      <x:c r="B92" s="78" t="str">
        <x:v>bateau pliable</x:v>
      </x:c>
      <x:c r="C92" t="str">
        <x:v>Achat</x:v>
      </x:c>
      <x:c r="D92"/>
      <x:c r="E92" t="str">
        <x:v>rare</x:v>
      </x:c>
      <x:c r="F92" t="str">
        <x:v>aidedd</x:v>
      </x:c>
      <x:c r="G92" s="60" t="n">
        <x:v>3996</x:v>
      </x:c>
      <x:c r="H92" s="80"/>
      <x:c r="I92" t="str">
        <x:v>Non précisé</x:v>
      </x:c>
      <x:c r="J92"/>
      <x:c r="K92" s="76" t="str">
        <x:v>MARIN !!!! à customiser à volonté | Lien ?: non</x:v>
      </x:c>
      <x:c r="L92" t="str">
        <x:v>Flo!A9:H9</x:v>
      </x:c>
      <x:c r="M92" s="187"/>
      <x:c r="N92" s="187"/>
      <x:c r="O92" s="187"/>
      <x:c r="P92" s="191" t="str">
        <x:f>IF(OR(M92="",N92="",AND(ISNUMBER(O92),O92&gt;=N92)),"",ROUND('02 - Barème'!$B$3*(N92^2-IF(O92="",0,O92)^2)*IF(M92="Arme",1,IF(M92="Armure/bouclier",'02 - Barème'!$B$4,'02 - Barème'!$B$5)),0))</x:f>
      </x:c>
      <x:c r="Q92" s="187"/>
      <x:c r="R92" s="192" t="str">
        <x:f>IF(OR(P92="",T92&lt;&gt;"OK"),"",ROUND(P92*MIN(1,('09 - Plafonds et aleas'!$B$9+'09 - Plafonds et aleas'!$B$10*Q92)/100),0))</x:f>
      </x:c>
      <x:c r="S92" t="str">
        <x:f>IF(T92&lt;&gt;"OK","",IF(('09 - Plafonds et aleas'!$B$9+'09 - Plafonds et aleas'!$B$10*Q92)&lt;=100,"Aucun",IF(Q92&lt;=17,"Matériau / service",IF(Q92&lt;=19,"Incident à résoudre","Quête majeure"))))</x:f>
      </x:c>
      <x:c r="T92" t="str">
        <x:f>IF(AND(M92="",N92="",Q92=""),"",IF(OR(M92="",N92=""),"N ET CATÉGORIE REQUIS",IF(OR(N92&lt;=0,AND(ISNUMBER(O92),O92&gt;=N92)),"NIVEAU INVALIDE",IF(OR(Q92="",Q92&lt;1,Q92&gt;20),"JET REQUIS / INVALIDE","OK"))))</x:f>
      </x:c>
    </x:row>
    <x:row r="93" ht="26" customHeight="1">
      <x:c r="A93" t="str">
        <x:v>Flo</x:v>
      </x:c>
      <x:c r="B93" s="78" t="str">
        <x:v>BOL DE CONTRÔLE DES ÉLÉMENTAIRES DE L'EAU</x:v>
      </x:c>
      <x:c r="C93" t="str">
        <x:v>Achat</x:v>
      </x:c>
      <x:c r="D93"/>
      <x:c r="E93" t="str">
        <x:v>rare</x:v>
      </x:c>
      <x:c r="F93" t="str">
        <x:v>aidedd</x:v>
      </x:c>
      <x:c r="G93" s="60" t="n">
        <x:v>3800</x:v>
      </x:c>
      <x:c r="H93" s="80"/>
      <x:c r="I93" t="str">
        <x:v>Non précisé</x:v>
      </x:c>
      <x:c r="J93"/>
      <x:c r="K93" s="76" t="str">
        <x:v>copain !!! catalyseur de sorts de vision | Lien ?: non</x:v>
      </x:c>
      <x:c r="L93" t="str">
        <x:v>Flo!A10:H10</x:v>
      </x:c>
      <x:c r="M93" s="187"/>
      <x:c r="N93" s="187"/>
      <x:c r="O93" s="187"/>
      <x:c r="P93" s="191" t="str">
        <x:f>IF(OR(M93="",N93="",AND(ISNUMBER(O93),O93&gt;=N93)),"",ROUND('02 - Barème'!$B$3*(N93^2-IF(O93="",0,O93)^2)*IF(M93="Arme",1,IF(M93="Armure/bouclier",'02 - Barème'!$B$4,'02 - Barème'!$B$5)),0))</x:f>
      </x:c>
      <x:c r="Q93" s="187"/>
      <x:c r="R93" s="192" t="str">
        <x:f>IF(OR(P93="",T93&lt;&gt;"OK"),"",ROUND(P93*MIN(1,('09 - Plafonds et aleas'!$B$9+'09 - Plafonds et aleas'!$B$10*Q93)/100),0))</x:f>
      </x:c>
      <x:c r="S93" t="str">
        <x:f>IF(T93&lt;&gt;"OK","",IF(('09 - Plafonds et aleas'!$B$9+'09 - Plafonds et aleas'!$B$10*Q93)&lt;=100,"Aucun",IF(Q93&lt;=17,"Matériau / service",IF(Q93&lt;=19,"Incident à résoudre","Quête majeure"))))</x:f>
      </x:c>
      <x:c r="T93" t="str">
        <x:f>IF(AND(M93="",N93="",Q93=""),"",IF(OR(M93="",N93=""),"N ET CATÉGORIE REQUIS",IF(OR(N93&lt;=0,AND(ISNUMBER(O93),O93&gt;=N93)),"NIVEAU INVALIDE",IF(OR(Q93="",Q93&lt;1,Q93&gt;20),"JET REQUIS / INVALIDE","OK"))))</x:f>
      </x:c>
    </x:row>
    <x:row r="94" ht="26" customHeight="1">
      <x:c r="A94" t="str">
        <x:v>Flo</x:v>
      </x:c>
      <x:c r="B94" s="78" t="str">
        <x:v>Cor du valhala</x:v>
      </x:c>
      <x:c r="C94" t="str">
        <x:v>Achat</x:v>
      </x:c>
      <x:c r="D94"/>
      <x:c r="E94"/>
      <x:c r="F94"/>
      <x:c r="G94" s="60" t="n">
        <x:v>3800</x:v>
      </x:c>
      <x:c r="H94" s="80"/>
      <x:c r="I94" t="str">
        <x:v>Non précisé</x:v>
      </x:c>
      <x:c r="J94"/>
      <x:c r="K94" s="76" t="str"/>
      <x:c r="L94" t="str">
        <x:v>Flo!A12:H12</x:v>
      </x:c>
      <x:c r="M94" s="187"/>
      <x:c r="N94" s="187"/>
      <x:c r="O94" s="187"/>
      <x:c r="P94" s="191" t="str">
        <x:f>IF(OR(M94="",N94="",AND(ISNUMBER(O94),O94&gt;=N94)),"",ROUND('02 - Barème'!$B$3*(N94^2-IF(O94="",0,O94)^2)*IF(M94="Arme",1,IF(M94="Armure/bouclier",'02 - Barème'!$B$4,'02 - Barème'!$B$5)),0))</x:f>
      </x:c>
      <x:c r="Q94" s="187"/>
      <x:c r="R94" s="192" t="str">
        <x:f>IF(OR(P94="",T94&lt;&gt;"OK"),"",ROUND(P94*MIN(1,('09 - Plafonds et aleas'!$B$9+'09 - Plafonds et aleas'!$B$10*Q94)/100),0))</x:f>
      </x:c>
      <x:c r="S94" t="str">
        <x:f>IF(T94&lt;&gt;"OK","",IF(('09 - Plafonds et aleas'!$B$9+'09 - Plafonds et aleas'!$B$10*Q94)&lt;=100,"Aucun",IF(Q94&lt;=17,"Matériau / service",IF(Q94&lt;=19,"Incident à résoudre","Quête majeure"))))</x:f>
      </x:c>
      <x:c r="T94" t="str">
        <x:f>IF(AND(M94="",N94="",Q94=""),"",IF(OR(M94="",N94=""),"N ET CATÉGORIE REQUIS",IF(OR(N94&lt;=0,AND(ISNUMBER(O94),O94&gt;=N94)),"NIVEAU INVALIDE",IF(OR(Q94="",Q94&lt;1,Q94&gt;20),"JET REQUIS / INVALIDE","OK"))))</x:f>
      </x:c>
    </x:row>
    <x:row r="95" ht="26" customHeight="1">
      <x:c r="A95" t="str">
        <x:v>Flo</x:v>
      </x:c>
      <x:c r="B95" s="78" t="str">
        <x:v>Trident des tempêtes</x:v>
      </x:c>
      <x:c r="C95" t="str">
        <x:v>Achat</x:v>
      </x:c>
      <x:c r="D95"/>
      <x:c r="E95"/>
      <x:c r="F95"/>
      <x:c r="G95" s="60"/>
      <x:c r="H95" s="80"/>
      <x:c r="I95" t="str">
        <x:v>Non précisé</x:v>
      </x:c>
      <x:c r="J95"/>
      <x:c r="K9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 | Lien ?: oui</x:v>
      </x:c>
      <x:c r="L95" t="str">
        <x:v>Flo!A15:H15</x:v>
      </x:c>
      <x:c r="M95" s="187"/>
      <x:c r="N95" s="187"/>
      <x:c r="O95" s="187"/>
      <x:c r="P95" s="191" t="str">
        <x:f>IF(OR(M95="",N95="",AND(ISNUMBER(O95),O95&gt;=N95)),"",ROUND('02 - Barème'!$B$3*(N95^2-IF(O95="",0,O95)^2)*IF(M95="Arme",1,IF(M95="Armure/bouclier",'02 - Barème'!$B$4,'02 - Barème'!$B$5)),0))</x:f>
      </x:c>
      <x:c r="Q95" s="187"/>
      <x:c r="R95" s="192" t="str">
        <x:f>IF(OR(P95="",T95&lt;&gt;"OK"),"",ROUND(P95*MIN(1,('09 - Plafonds et aleas'!$B$9+'09 - Plafonds et aleas'!$B$10*Q95)/100),0))</x:f>
      </x:c>
      <x:c r="S95" t="str">
        <x:f>IF(T95&lt;&gt;"OK","",IF(('09 - Plafonds et aleas'!$B$9+'09 - Plafonds et aleas'!$B$10*Q95)&lt;=100,"Aucun",IF(Q95&lt;=17,"Matériau / service",IF(Q95&lt;=19,"Incident à résoudre","Quête majeure"))))</x:f>
      </x:c>
      <x:c r="T95" t="str">
        <x:f>IF(AND(M95="",N95="",Q95=""),"",IF(OR(M95="",N95=""),"N ET CATÉGORIE REQUIS",IF(OR(N95&lt;=0,AND(ISNUMBER(O95),O95&gt;=N95)),"NIVEAU INVALIDE",IF(OR(Q95="",Q95&lt;1,Q95&gt;20),"JET REQUIS / INVALIDE","OK"))))</x:f>
      </x:c>
    </x:row>
    <x:row r="96" ht="26" customHeight="1">
      <x:c r="A96" t="str">
        <x:v>Flo</x:v>
      </x:c>
      <x:c r="B96" s="78" t="str">
        <x:v>amulette de dévotion (+2 ou +3)</x:v>
      </x:c>
      <x:c r="C96" t="str">
        <x:v>Achat</x:v>
      </x:c>
      <x:c r="D96"/>
      <x:c r="E96" t="str">
        <x:v>+2 rare / +3 très rare</x:v>
      </x:c>
      <x:c r="F96"/>
      <x:c r="G96" s="60"/>
      <x:c r="H96" s="80"/>
      <x:c r="I96" t="str">
        <x:v>Non précisé</x:v>
      </x:c>
      <x:c r="J96" t="str">
        <x:v>http://dnd5e.wikidot.com/wondrous-items:amulet-of-the-devout</x:v>
      </x:c>
      <x:c r="K96" s="76" t="str">
        <x:v>attention non cumulable avec effet trident | Lien ?: oui</x:v>
      </x:c>
      <x:c r="L96" t="str">
        <x:v>Flo!A21:H21</x:v>
      </x:c>
      <x:c r="M96" s="187"/>
      <x:c r="N96" s="187"/>
      <x:c r="O96" s="187"/>
      <x:c r="P96" s="191" t="str">
        <x:f>IF(OR(M96="",N96="",AND(ISNUMBER(O96),O96&gt;=N96)),"",ROUND('02 - Barème'!$B$3*(N96^2-IF(O96="",0,O96)^2)*IF(M96="Arme",1,IF(M96="Armure/bouclier",'02 - Barème'!$B$4,'02 - Barème'!$B$5)),0))</x:f>
      </x:c>
      <x:c r="Q96" s="187"/>
      <x:c r="R96" s="192" t="str">
        <x:f>IF(OR(P96="",T96&lt;&gt;"OK"),"",ROUND(P96*MIN(1,('09 - Plafonds et aleas'!$B$9+'09 - Plafonds et aleas'!$B$10*Q96)/100),0))</x:f>
      </x:c>
      <x:c r="S96" t="str">
        <x:f>IF(T96&lt;&gt;"OK","",IF(('09 - Plafonds et aleas'!$B$9+'09 - Plafonds et aleas'!$B$10*Q96)&lt;=100,"Aucun",IF(Q96&lt;=17,"Matériau / service",IF(Q96&lt;=19,"Incident à résoudre","Quête majeure"))))</x:f>
      </x:c>
      <x:c r="T96" t="str">
        <x:f>IF(AND(M96="",N96="",Q96=""),"",IF(OR(M96="",N96=""),"N ET CATÉGORIE REQUIS",IF(OR(N96&lt;=0,AND(ISNUMBER(O96),O96&gt;=N96)),"NIVEAU INVALIDE",IF(OR(Q96="",Q96&lt;1,Q96&gt;20),"JET REQUIS / INVALIDE","OK"))))</x:f>
      </x:c>
    </x:row>
    <x:row r="97" ht="26" customHeight="1">
      <x:c r="A97" t="str">
        <x:v>Flo</x:v>
      </x:c>
      <x:c r="B97" s="78" t="str">
        <x:v>ceinturon tempete</x:v>
      </x:c>
      <x:c r="C97" t="str">
        <x:v>Achat</x:v>
      </x:c>
      <x:c r="D97"/>
      <x:c r="E97" t="str">
        <x:v>legendaire</x:v>
      </x:c>
      <x:c r="F97"/>
      <x:c r="G97" s="60"/>
      <x:c r="H97" s="80"/>
      <x:c r="I97" t="str">
        <x:v>Non précisé</x:v>
      </x:c>
      <x:c r="J97" t="str">
        <x:v>http://dnd5e.wikidot.com/wondrous-items:stormgirdle</x:v>
      </x:c>
      <x:c r="K97" s="76" t="str">
        <x:v>Lien ?: oui</x:v>
      </x:c>
      <x:c r="L97" t="str">
        <x:v>Flo!A22:H22</x:v>
      </x:c>
      <x:c r="M97" s="187"/>
      <x:c r="N97" s="187"/>
      <x:c r="O97" s="187"/>
      <x:c r="P97" s="191" t="str">
        <x:f>IF(OR(M97="",N97="",AND(ISNUMBER(O97),O97&gt;=N97)),"",ROUND('02 - Barème'!$B$3*(N97^2-IF(O97="",0,O97)^2)*IF(M97="Arme",1,IF(M97="Armure/bouclier",'02 - Barème'!$B$4,'02 - Barème'!$B$5)),0))</x:f>
      </x:c>
      <x:c r="Q97" s="187"/>
      <x:c r="R97" s="192" t="str">
        <x:f>IF(OR(P97="",T97&lt;&gt;"OK"),"",ROUND(P97*MIN(1,('09 - Plafonds et aleas'!$B$9+'09 - Plafonds et aleas'!$B$10*Q97)/100),0))</x:f>
      </x:c>
      <x:c r="S97" t="str">
        <x:f>IF(T97&lt;&gt;"OK","",IF(('09 - Plafonds et aleas'!$B$9+'09 - Plafonds et aleas'!$B$10*Q97)&lt;=100,"Aucun",IF(Q97&lt;=17,"Matériau / service",IF(Q97&lt;=19,"Incident à résoudre","Quête majeure"))))</x:f>
      </x:c>
      <x:c r="T97" t="str">
        <x:f>IF(AND(M97="",N97="",Q97=""),"",IF(OR(M97="",N97=""),"N ET CATÉGORIE REQUIS",IF(OR(N97&lt;=0,AND(ISNUMBER(O97),O97&gt;=N97)),"NIVEAU INVALIDE",IF(OR(Q97="",Q97&lt;1,Q97&gt;20),"JET REQUIS / INVALIDE","OK"))))</x:f>
      </x:c>
    </x:row>
    <x:row r="98" ht="26" customHeight="1">
      <x:c r="A98" t="str">
        <x:v>Flo</x:v>
      </x:c>
      <x:c r="B98" s="78" t="str">
        <x:v>Anneau de contrôle de l'Air Élémentaire</x:v>
      </x:c>
      <x:c r="C98" t="str">
        <x:v>Achat</x:v>
      </x:c>
      <x:c r="D98"/>
      <x:c r="E98" t="str">
        <x:v>legendaire</x:v>
      </x:c>
      <x:c r="F98"/>
      <x:c r="G98" s="60"/>
      <x:c r="H98" s="80"/>
      <x:c r="I98" t="str">
        <x:v>Non précisé</x:v>
      </x:c>
      <x:c r="J98" t="str">
        <x:v>https://www.aidedd.org/dnd/om.php?vf=anneau-de-controle-des-elementaires</x:v>
      </x:c>
      <x:c r="K98" s="76" t="str">
        <x:v>Lien ?: oui</x:v>
      </x:c>
      <x:c r="L98" t="str">
        <x:v>Flo!A23:H23</x:v>
      </x:c>
      <x:c r="M98" s="187"/>
      <x:c r="N98" s="187"/>
      <x:c r="O98" s="187"/>
      <x:c r="P98" s="191" t="str">
        <x:f>IF(OR(M98="",N98="",AND(ISNUMBER(O98),O98&gt;=N98)),"",ROUND('02 - Barème'!$B$3*(N98^2-IF(O98="",0,O98)^2)*IF(M98="Arme",1,IF(M98="Armure/bouclier",'02 - Barème'!$B$4,'02 - Barème'!$B$5)),0))</x:f>
      </x:c>
      <x:c r="Q98" s="187"/>
      <x:c r="R98" s="192" t="str">
        <x:f>IF(OR(P98="",T98&lt;&gt;"OK"),"",ROUND(P98*MIN(1,('09 - Plafonds et aleas'!$B$9+'09 - Plafonds et aleas'!$B$10*Q98)/100),0))</x:f>
      </x:c>
      <x:c r="S98" t="str">
        <x:f>IF(T98&lt;&gt;"OK","",IF(('09 - Plafonds et aleas'!$B$9+'09 - Plafonds et aleas'!$B$10*Q98)&lt;=100,"Aucun",IF(Q98&lt;=17,"Matériau / service",IF(Q98&lt;=19,"Incident à résoudre","Quête majeure"))))</x:f>
      </x:c>
      <x:c r="T98" t="str">
        <x:f>IF(AND(M98="",N98="",Q98=""),"",IF(OR(M98="",N98=""),"N ET CATÉGORIE REQUIS",IF(OR(N98&lt;=0,AND(ISNUMBER(O98),O98&gt;=N98)),"NIVEAU INVALIDE",IF(OR(Q98="",Q98&lt;1,Q98&gt;20),"JET REQUIS / INVALIDE","OK"))))</x:f>
      </x:c>
    </x:row>
    <x:row r="99" ht="26" customHeight="1">
      <x:c r="A99" t="str">
        <x:v>Flo</x:v>
      </x:c>
      <x:c r="B99" s="78" t="str">
        <x:v>Vague</x:v>
      </x:c>
      <x:c r="C99" t="str">
        <x:v>Achat</x:v>
      </x:c>
      <x:c r="D99"/>
      <x:c r="E99" t="str">
        <x:v>legendaire</x:v>
      </x:c>
      <x:c r="F99"/>
      <x:c r="G99" s="60"/>
      <x:c r="H99" s="80"/>
      <x:c r="I99" t="str">
        <x:v>Non précisé</x:v>
      </x:c>
      <x:c r="J99" t="str">
        <x:v>https://www.aidedd.org/dnd/om.php?vf=vague</x:v>
      </x:c>
      <x:c r="K99" s="76" t="str">
        <x:v>Lien ?: oui</x:v>
      </x:c>
      <x:c r="L99" t="str">
        <x:v>Flo!A24:H24</x:v>
      </x:c>
      <x:c r="M99" s="187"/>
      <x:c r="N99" s="187"/>
      <x:c r="O99" s="187"/>
      <x:c r="P99" s="191" t="str">
        <x:f>IF(OR(M99="",N99="",AND(ISNUMBER(O99),O99&gt;=N99)),"",ROUND('02 - Barème'!$B$3*(N99^2-IF(O99="",0,O99)^2)*IF(M99="Arme",1,IF(M99="Armure/bouclier",'02 - Barème'!$B$4,'02 - Barème'!$B$5)),0))</x:f>
      </x:c>
      <x:c r="Q99" s="187"/>
      <x:c r="R99" s="192" t="str">
        <x:f>IF(OR(P99="",T99&lt;&gt;"OK"),"",ROUND(P99*MIN(1,('09 - Plafonds et aleas'!$B$9+'09 - Plafonds et aleas'!$B$10*Q99)/100),0))</x:f>
      </x:c>
      <x:c r="S99" t="str">
        <x:f>IF(T99&lt;&gt;"OK","",IF(('09 - Plafonds et aleas'!$B$9+'09 - Plafonds et aleas'!$B$10*Q99)&lt;=100,"Aucun",IF(Q99&lt;=17,"Matériau / service",IF(Q99&lt;=19,"Incident à résoudre","Quête majeure"))))</x:f>
      </x:c>
      <x:c r="T99" t="str">
        <x:f>IF(AND(M99="",N99="",Q99=""),"",IF(OR(M99="",N99=""),"N ET CATÉGORIE REQUIS",IF(OR(N99&lt;=0,AND(ISNUMBER(O99),O99&gt;=N99)),"NIVEAU INVALIDE",IF(OR(Q99="",Q99&lt;1,Q99&gt;20),"JET REQUIS / INVALIDE","OK"))))</x:f>
      </x:c>
    </x:row>
    <x:row r="100" ht="26" customHeight="1">
      <x:c r="A100" t="str">
        <x:v>Flo</x:v>
      </x:c>
      <x:c r="B100" s="78" t="str">
        <x:v>+3ifier l'armure</x:v>
      </x:c>
      <x:c r="C100" t="str">
        <x:v>Forge</x:v>
      </x:c>
      <x:c r="D100"/>
      <x:c r="E100"/>
      <x:c r="F100" t="str">
        <x:v>base</x:v>
      </x:c>
      <x:c r="G100" s="60" t="n">
        <x:v>22950</x:v>
      </x:c>
      <x:c r="H100" s="80" t="n">
        <x:v>17500</x:v>
      </x:c>
      <x:c r="I100" t="str">
        <x:v>oui</x:v>
      </x:c>
      <x:c r="J100"/>
      <x:c r="K100" s="76" t="str">
        <x:v>Lien ?: non</x:v>
      </x:c>
      <x:c r="L100" t="str">
        <x:v>Flo!A27:H27</x:v>
      </x:c>
      <x:c r="M100" s="187"/>
      <x:c r="N100" s="187"/>
      <x:c r="O100" s="187"/>
      <x:c r="P100" s="191" t="str">
        <x:f>IF(OR(M100="",N100="",AND(ISNUMBER(O100),O100&gt;=N100)),"",ROUND('02 - Barème'!$B$3*(N100^2-IF(O100="",0,O100)^2)*IF(M100="Arme",1,IF(M100="Armure/bouclier",'02 - Barème'!$B$4,'02 - Barème'!$B$5)),0))</x:f>
      </x:c>
      <x:c r="Q100" s="187"/>
      <x:c r="R100" s="192" t="str">
        <x:f>IF(OR(P100="",T100&lt;&gt;"OK"),"",ROUND(P100*MIN(1,('09 - Plafonds et aleas'!$B$9+'09 - Plafonds et aleas'!$B$10*Q100)/100),0))</x:f>
      </x:c>
      <x:c r="S100" t="str">
        <x:f>IF(T100&lt;&gt;"OK","",IF(('09 - Plafonds et aleas'!$B$9+'09 - Plafonds et aleas'!$B$10*Q100)&lt;=100,"Aucun",IF(Q100&lt;=17,"Matériau / service",IF(Q100&lt;=19,"Incident à résoudre","Quête majeure"))))</x:f>
      </x:c>
      <x:c r="T100" t="str">
        <x:f>IF(AND(M100="",N100="",Q100=""),"",IF(OR(M100="",N100=""),"N ET CATÉGORIE REQUIS",IF(OR(N100&lt;=0,AND(ISNUMBER(O100),O100&gt;=N100)),"NIVEAU INVALIDE",IF(OR(Q100="",Q100&lt;1,Q100&gt;20),"JET REQUIS / INVALIDE","OK"))))</x:f>
      </x:c>
    </x:row>
    <x:row r="101" ht="26" customHeight="1">
      <x:c r="A101" t="str">
        <x:v>Flo</x:v>
      </x:c>
      <x:c r="B101" s="78" t="str">
        <x:v>+3ifier le bouclier</x:v>
      </x:c>
      <x:c r="C101" t="str">
        <x:v>Forge</x:v>
      </x:c>
      <x:c r="D101"/>
      <x:c r="E101"/>
      <x:c r="F101" t="str">
        <x:v>base</x:v>
      </x:c>
      <x:c r="G101" s="60" t="n">
        <x:v>22950</x:v>
      </x:c>
      <x:c r="H101" s="80" t="n">
        <x:v>0</x:v>
      </x:c>
      <x:c r="I101" t="str">
        <x:v>oui</x:v>
      </x:c>
      <x:c r="J101"/>
      <x:c r="K101" s="76" t="str">
        <x:v>Lien ?: non</x:v>
      </x:c>
      <x:c r="L101" t="str">
        <x:v>Flo!A28:H28</x:v>
      </x:c>
      <x:c r="M101" s="187"/>
      <x:c r="N101" s="187"/>
      <x:c r="O101" s="187"/>
      <x:c r="P101" s="191" t="str">
        <x:f>IF(OR(M101="",N101="",AND(ISNUMBER(O101),O101&gt;=N101)),"",ROUND('02 - Barème'!$B$3*(N101^2-IF(O101="",0,O101)^2)*IF(M101="Arme",1,IF(M101="Armure/bouclier",'02 - Barème'!$B$4,'02 - Barème'!$B$5)),0))</x:f>
      </x:c>
      <x:c r="Q101" s="187"/>
      <x:c r="R101" s="192" t="str">
        <x:f>IF(OR(P101="",T101&lt;&gt;"OK"),"",ROUND(P101*MIN(1,('09 - Plafonds et aleas'!$B$9+'09 - Plafonds et aleas'!$B$10*Q101)/100),0))</x:f>
      </x:c>
      <x:c r="S101" t="str">
        <x:f>IF(T101&lt;&gt;"OK","",IF(('09 - Plafonds et aleas'!$B$9+'09 - Plafonds et aleas'!$B$10*Q101)&lt;=100,"Aucun",IF(Q101&lt;=17,"Matériau / service",IF(Q101&lt;=19,"Incident à résoudre","Quête majeure"))))</x:f>
      </x:c>
      <x:c r="T101" t="str">
        <x:f>IF(AND(M101="",N101="",Q101=""),"",IF(OR(M101="",N101=""),"N ET CATÉGORIE REQUIS",IF(OR(N101&lt;=0,AND(ISNUMBER(O101),O101&gt;=N101)),"NIVEAU INVALIDE",IF(OR(Q101="",Q101&lt;1,Q101&gt;20),"JET REQUIS / INVALIDE","OK"))))</x:f>
      </x:c>
    </x:row>
    <x:row r="102" ht="26" customHeight="1">
      <x:c r="A102" t="str">
        <x:v>Flo</x:v>
      </x:c>
      <x:c r="B102" s="78" t="str">
        <x:v>bouclier gardesort +3 (2 slots pris)</x:v>
      </x:c>
      <x:c r="C102" t="str">
        <x:v>Forge</x:v>
      </x:c>
      <x:c r="D102"/>
      <x:c r="E102" t="str">
        <x:v>très rare</x:v>
      </x:c>
      <x:c r="F102"/>
      <x:c r="G102" s="60" t="n">
        <x:v>41500</x:v>
      </x:c>
      <x:c r="H102" s="80" t="n">
        <x:v>41500</x:v>
      </x:c>
      <x:c r="I102" t="str">
        <x:v>oui</x:v>
      </x:c>
      <x:c r="J102" t="str">
        <x:v>https://www.aidedd.org/dnd/om.php?vf=bouclier-gardesort</x:v>
      </x:c>
      <x:c r="K102" s="76" t="str">
        <x:v>Lien ?: oui</x:v>
      </x:c>
      <x:c r="L102" t="str">
        <x:v>Flo!A31:H31</x:v>
      </x:c>
      <x:c r="M102" s="187"/>
      <x:c r="N102" s="187"/>
      <x:c r="O102" s="187"/>
      <x:c r="P102" s="191" t="str">
        <x:f>IF(OR(M102="",N102="",AND(ISNUMBER(O102),O102&gt;=N102)),"",ROUND('02 - Barème'!$B$3*(N102^2-IF(O102="",0,O102)^2)*IF(M102="Arme",1,IF(M102="Armure/bouclier",'02 - Barème'!$B$4,'02 - Barème'!$B$5)),0))</x:f>
      </x:c>
      <x:c r="Q102" s="187"/>
      <x:c r="R102" s="192" t="str">
        <x:f>IF(OR(P102="",T102&lt;&gt;"OK"),"",ROUND(P102*MIN(1,('09 - Plafonds et aleas'!$B$9+'09 - Plafonds et aleas'!$B$10*Q102)/100),0))</x:f>
      </x:c>
      <x:c r="S102" t="str">
        <x:f>IF(T102&lt;&gt;"OK","",IF(('09 - Plafonds et aleas'!$B$9+'09 - Plafonds et aleas'!$B$10*Q102)&lt;=100,"Aucun",IF(Q102&lt;=17,"Matériau / service",IF(Q102&lt;=19,"Incident à résoudre","Quête majeure"))))</x:f>
      </x:c>
      <x:c r="T102" t="str">
        <x:f>IF(AND(M102="",N102="",Q102=""),"",IF(OR(M102="",N102=""),"N ET CATÉGORIE REQUIS",IF(OR(N102&lt;=0,AND(ISNUMBER(O102),O102&gt;=N102)),"NIVEAU INVALIDE",IF(OR(Q102="",Q102&lt;1,Q102&gt;20),"JET REQUIS / INVALIDE","OK"))))</x:f>
      </x:c>
    </x:row>
    <x:row r="103" ht="26" customHeight="1">
      <x:c r="A103" t="str">
        <x:v>Marty</x:v>
      </x:c>
      <x:c r="B103" s="78" t="str">
        <x:v>sceptre de défense</x:v>
      </x:c>
      <x:c r="C103" t="str">
        <x:v>Forge</x:v>
      </x:c>
      <x:c r="D103"/>
      <x:c r="E103"/>
      <x:c r="F103" t="str">
        <x:v>Recherche / idée</x:v>
      </x:c>
      <x:c r="G103" s="60"/>
      <x:c r="H103" s="80"/>
      <x:c r="I103"/>
      <x:c r="J103"/>
      <x:c r="K103" s="76" t="str">
        <x:v>Contre sort / globle d'invulnérabilité</x:v>
      </x:c>
      <x:c r="L103" t="str">
        <x:v>Marty!A3:E3</x:v>
      </x:c>
      <x:c r="M103" s="187"/>
      <x:c r="N103" s="187"/>
      <x:c r="O103" s="187"/>
      <x:c r="P103" s="191" t="str">
        <x:f>IF(OR(M103="",N103="",AND(ISNUMBER(O103),O103&gt;=N103)),"",ROUND('02 - Barème'!$B$3*(N103^2-IF(O103="",0,O103)^2)*IF(M103="Arme",1,IF(M103="Armure/bouclier",'02 - Barème'!$B$4,'02 - Barème'!$B$5)),0))</x:f>
      </x:c>
      <x:c r="Q103" s="187"/>
      <x:c r="R103" s="192" t="str">
        <x:f>IF(OR(P103="",T103&lt;&gt;"OK"),"",ROUND(P103*MIN(1,('09 - Plafonds et aleas'!$B$9+'09 - Plafonds et aleas'!$B$10*Q103)/100),0))</x:f>
      </x:c>
      <x:c r="S103" t="str">
        <x:f>IF(T103&lt;&gt;"OK","",IF(('09 - Plafonds et aleas'!$B$9+'09 - Plafonds et aleas'!$B$10*Q103)&lt;=100,"Aucun",IF(Q103&lt;=17,"Matériau / service",IF(Q103&lt;=19,"Incident à résoudre","Quête majeure"))))</x:f>
      </x:c>
      <x:c r="T103" t="str">
        <x:f>IF(AND(M103="",N103="",Q103=""),"",IF(OR(M103="",N103=""),"N ET CATÉGORIE REQUIS",IF(OR(N103&lt;=0,AND(ISNUMBER(O103),O103&gt;=N103)),"NIVEAU INVALIDE",IF(OR(Q103="",Q103&lt;1,Q103&gt;20),"JET REQUIS / INVALIDE","OK"))))</x:f>
      </x:c>
    </x:row>
    <x:row r="104" ht="26" customHeight="1">
      <x:c r="A104" t="str">
        <x:v>Marty</x:v>
      </x:c>
      <x:c r="B104" s="78" t="str">
        <x:v>Armure de plates en adamantium</x:v>
      </x:c>
      <x:c r="C104" t="str">
        <x:v>Forge</x:v>
      </x:c>
      <x:c r="D104"/>
      <x:c r="E104"/>
      <x:c r="F104" t="str">
        <x:v>Recherche / idée</x:v>
      </x:c>
      <x:c r="G104" s="60"/>
      <x:c r="H104" s="80"/>
      <x:c r="I104"/>
      <x:c r="J104"/>
      <x:c r="K104" s="76" t="str">
        <x:v>"+1" / protection contre les armes / Absorption des éléments / (le cas échéant un enchantement "cape de déplacement" sans lien)</x:v>
      </x:c>
      <x:c r="L104" t="str">
        <x:v>Marty!A4:E4</x:v>
      </x:c>
      <x:c r="M104" s="187"/>
      <x:c r="N104" s="187"/>
      <x:c r="O104" s="187"/>
      <x:c r="P104" s="191" t="str">
        <x:f>IF(OR(M104="",N104="",AND(ISNUMBER(O104),O104&gt;=N104)),"",ROUND('02 - Barème'!$B$3*(N104^2-IF(O104="",0,O104)^2)*IF(M104="Arme",1,IF(M104="Armure/bouclier",'02 - Barème'!$B$4,'02 - Barème'!$B$5)),0))</x:f>
      </x:c>
      <x:c r="Q104" s="187"/>
      <x:c r="R104" s="192" t="str">
        <x:f>IF(OR(P104="",T104&lt;&gt;"OK"),"",ROUND(P104*MIN(1,('09 - Plafonds et aleas'!$B$9+'09 - Plafonds et aleas'!$B$10*Q104)/100),0))</x:f>
      </x:c>
      <x:c r="S104" t="str">
        <x:f>IF(T104&lt;&gt;"OK","",IF(('09 - Plafonds et aleas'!$B$9+'09 - Plafonds et aleas'!$B$10*Q104)&lt;=100,"Aucun",IF(Q104&lt;=17,"Matériau / service",IF(Q104&lt;=19,"Incident à résoudre","Quête majeure"))))</x:f>
      </x:c>
      <x:c r="T104" t="str">
        <x:f>IF(AND(M104="",N104="",Q104=""),"",IF(OR(M104="",N104=""),"N ET CATÉGORIE REQUIS",IF(OR(N104&lt;=0,AND(ISNUMBER(O104),O104&gt;=N104)),"NIVEAU INVALIDE",IF(OR(Q104="",Q104&lt;1,Q104&gt;20),"JET REQUIS / INVALIDE","OK"))))</x:f>
      </x:c>
    </x:row>
    <x:row r="105" ht="26" customHeight="1">
      <x:c r="A105" t="str">
        <x:v>Marty</x:v>
      </x:c>
      <x:c r="B105" s="78" t="str">
        <x:v>Armure lourde — enchantement discret et PV temporaires</x:v>
      </x:c>
      <x:c r="C105" t="str">
        <x:v>Forge</x:v>
      </x:c>
      <x:c r="D105"/>
      <x:c r="E105"/>
      <x:c r="F105" t="str">
        <x:v>Recherche / idée</x:v>
      </x:c>
      <x:c r="G105" s="60"/>
      <x:c r="H105" s="80"/>
      <x:c r="I105"/>
      <x:c r="J105"/>
      <x:c r="K105" s="76" t="str">
        <x:v>Armure lourde discrete ? / Donne des PV supplementaires temporaire ou max tant que je porte l'armure et se regen une fois par jour au lever du soleil ?</x:v>
      </x:c>
      <x:c r="L105" t="str">
        <x:v>Marty!A5:E5</x:v>
      </x:c>
      <x:c r="M105" s="187"/>
      <x:c r="N105" s="187"/>
      <x:c r="O105" s="187"/>
      <x:c r="P105" s="191" t="str">
        <x:f>IF(OR(M105="",N105="",AND(ISNUMBER(O105),O105&gt;=N105)),"",ROUND('02 - Barème'!$B$3*(N105^2-IF(O105="",0,O105)^2)*IF(M105="Arme",1,IF(M105="Armure/bouclier",'02 - Barème'!$B$4,'02 - Barème'!$B$5)),0))</x:f>
      </x:c>
      <x:c r="Q105" s="187"/>
      <x:c r="R105" s="192" t="str">
        <x:f>IF(OR(P105="",T105&lt;&gt;"OK"),"",ROUND(P105*MIN(1,('09 - Plafonds et aleas'!$B$9+'09 - Plafonds et aleas'!$B$10*Q105)/100),0))</x:f>
      </x:c>
      <x:c r="S105" t="str">
        <x:f>IF(T105&lt;&gt;"OK","",IF(('09 - Plafonds et aleas'!$B$9+'09 - Plafonds et aleas'!$B$10*Q105)&lt;=100,"Aucun",IF(Q105&lt;=17,"Matériau / service",IF(Q105&lt;=19,"Incident à résoudre","Quête majeure"))))</x:f>
      </x:c>
      <x:c r="T105" t="str">
        <x:f>IF(AND(M105="",N105="",Q105=""),"",IF(OR(M105="",N105=""),"N ET CATÉGORIE REQUIS",IF(OR(N105&lt;=0,AND(ISNUMBER(O105),O105&gt;=N105)),"NIVEAU INVALIDE",IF(OR(Q105="",Q105&lt;1,Q105&gt;20),"JET REQUIS / INVALIDE","OK"))))</x:f>
      </x:c>
    </x:row>
    <x:row r="106" ht="26" customHeight="1">
      <x:c r="A106" t="str">
        <x:v>Marty</x:v>
      </x:c>
      <x:c r="B106" s="78" t="str">
        <x:v>En cours de recherche :</x:v>
      </x:c>
      <x:c r="C106" t="str">
        <x:v>Forge</x:v>
      </x:c>
      <x:c r="D106"/>
      <x:c r="E106"/>
      <x:c r="F106" t="str">
        <x:v>Recherche / idée</x:v>
      </x:c>
      <x:c r="G106" s="60"/>
      <x:c r="H106" s="80"/>
      <x:c r="I106"/>
      <x:c r="J106"/>
      <x:c r="K106" s="76" t="str">
        <x:v>Arme "vampirique" qui vole les points de vie lorsqu'il fait des dégats pour le combiner à mon amulette de cicatrisation qui double ma régène de point de vie à chaque fois que je me soigne</x:v>
      </x:c>
      <x:c r="L106" t="str">
        <x:v>Marty!A11:E11</x:v>
      </x:c>
      <x:c r="M106" s="187"/>
      <x:c r="N106" s="187"/>
      <x:c r="O106" s="187"/>
      <x:c r="P106" s="191" t="str">
        <x:f>IF(OR(M106="",N106="",AND(ISNUMBER(O106),O106&gt;=N106)),"",ROUND('02 - Barème'!$B$3*(N106^2-IF(O106="",0,O106)^2)*IF(M106="Arme",1,IF(M106="Armure/bouclier",'02 - Barème'!$B$4,'02 - Barème'!$B$5)),0))</x:f>
      </x:c>
      <x:c r="Q106" s="187"/>
      <x:c r="R106" s="192" t="str">
        <x:f>IF(OR(P106="",T106&lt;&gt;"OK"),"",ROUND(P106*MIN(1,('09 - Plafonds et aleas'!$B$9+'09 - Plafonds et aleas'!$B$10*Q106)/100),0))</x:f>
      </x:c>
      <x:c r="S106" t="str">
        <x:f>IF(T106&lt;&gt;"OK","",IF(('09 - Plafonds et aleas'!$B$9+'09 - Plafonds et aleas'!$B$10*Q106)&lt;=100,"Aucun",IF(Q106&lt;=17,"Matériau / service",IF(Q106&lt;=19,"Incident à résoudre","Quête majeure"))))</x:f>
      </x:c>
      <x:c r="T106" t="str">
        <x:f>IF(AND(M106="",N106="",Q106=""),"",IF(OR(M106="",N106=""),"N ET CATÉGORIE REQUIS",IF(OR(N106&lt;=0,AND(ISNUMBER(O106),O106&gt;=N106)),"NIVEAU INVALIDE",IF(OR(Q106="",Q106&lt;1,Q106&gt;20),"JET REQUIS / INVALIDE","OK"))))</x:f>
      </x:c>
    </x:row>
    <x:row r="107" ht="26" customHeight="1">
      <x:c r="A107" t="str">
        <x:v>Marty</x:v>
      </x:c>
      <x:c r="B107" s="78" t="str">
        <x:v>Cape de déplacement</x:v>
      </x:c>
      <x:c r="C107" t="str">
        <x:v>Achat</x:v>
      </x:c>
      <x:c r="D107"/>
      <x:c r="E107"/>
      <x:c r="F107" t="str">
        <x:v>Recherche / idée</x:v>
      </x:c>
      <x:c r="G107" s="60"/>
      <x:c r="H107" s="80"/>
      <x:c r="I107"/>
      <x:c r="J107"/>
      <x:c r="K107" s="76" t="str">
        <x:v>Merveilleux / Oui</x:v>
      </x:c>
      <x:c r="L107" t="str">
        <x:v>Marty!A14:E14</x:v>
      </x:c>
      <x:c r="M107" s="187"/>
      <x:c r="N107" s="187"/>
      <x:c r="O107" s="187"/>
      <x:c r="P107" s="191" t="str">
        <x:f>IF(OR(M107="",N107="",AND(ISNUMBER(O107),O107&gt;=N107)),"",ROUND('02 - Barème'!$B$3*(N107^2-IF(O107="",0,O107)^2)*IF(M107="Arme",1,IF(M107="Armure/bouclier",'02 - Barème'!$B$4,'02 - Barème'!$B$5)),0))</x:f>
      </x:c>
      <x:c r="Q107" s="187"/>
      <x:c r="R107" s="192" t="str">
        <x:f>IF(OR(P107="",T107&lt;&gt;"OK"),"",ROUND(P107*MIN(1,('09 - Plafonds et aleas'!$B$9+'09 - Plafonds et aleas'!$B$10*Q107)/100),0))</x:f>
      </x:c>
      <x:c r="S107" t="str">
        <x:f>IF(T107&lt;&gt;"OK","",IF(('09 - Plafonds et aleas'!$B$9+'09 - Plafonds et aleas'!$B$10*Q107)&lt;=100,"Aucun",IF(Q107&lt;=17,"Matériau / service",IF(Q107&lt;=19,"Incident à résoudre","Quête majeure"))))</x:f>
      </x:c>
      <x:c r="T107" t="str">
        <x:f>IF(AND(M107="",N107="",Q107=""),"",IF(OR(M107="",N107=""),"N ET CATÉGORIE REQUIS",IF(OR(N107&lt;=0,AND(ISNUMBER(O107),O107&gt;=N107)),"NIVEAU INVALIDE",IF(OR(Q107="",Q107&lt;1,Q107&gt;20),"JET REQUIS / INVALIDE","OK"))))</x:f>
      </x:c>
    </x:row>
    <x:row r="108" ht="26" customHeight="1">
      <x:c r="A108" t="str">
        <x:v>Marty</x:v>
      </x:c>
      <x:c r="B108" s="78" t="str">
        <x:v>Sac à malice (rouille ou ocre)</x:v>
      </x:c>
      <x:c r="C108" t="str">
        <x:v>Achat</x:v>
      </x:c>
      <x:c r="D108"/>
      <x:c r="E108"/>
      <x:c r="F108" t="str">
        <x:v>Recherche / idée</x:v>
      </x:c>
      <x:c r="G108" s="60"/>
      <x:c r="H108" s="80"/>
      <x:c r="I108"/>
      <x:c r="J108"/>
      <x:c r="K108" s="76" t="str">
        <x:v>Merveilleux</x:v>
      </x:c>
      <x:c r="L108" t="str">
        <x:v>Marty!A15:E15</x:v>
      </x:c>
      <x:c r="M108" s="187"/>
      <x:c r="N108" s="187"/>
      <x:c r="O108" s="187"/>
      <x:c r="P108" s="191" t="str">
        <x:f>IF(OR(M108="",N108="",AND(ISNUMBER(O108),O108&gt;=N108)),"",ROUND('02 - Barème'!$B$3*(N108^2-IF(O108="",0,O108)^2)*IF(M108="Arme",1,IF(M108="Armure/bouclier",'02 - Barème'!$B$4,'02 - Barème'!$B$5)),0))</x:f>
      </x:c>
      <x:c r="Q108" s="187"/>
      <x:c r="R108" s="192" t="str">
        <x:f>IF(OR(P108="",T108&lt;&gt;"OK"),"",ROUND(P108*MIN(1,('09 - Plafonds et aleas'!$B$9+'09 - Plafonds et aleas'!$B$10*Q108)/100),0))</x:f>
      </x:c>
      <x:c r="S108" t="str">
        <x:f>IF(T108&lt;&gt;"OK","",IF(('09 - Plafonds et aleas'!$B$9+'09 - Plafonds et aleas'!$B$10*Q108)&lt;=100,"Aucun",IF(Q108&lt;=17,"Matériau / service",IF(Q108&lt;=19,"Incident à résoudre","Quête majeure"))))</x:f>
      </x:c>
      <x:c r="T108" t="str">
        <x:f>IF(AND(M108="",N108="",Q108=""),"",IF(OR(M108="",N108=""),"N ET CATÉGORIE REQUIS",IF(OR(N108&lt;=0,AND(ISNUMBER(O108),O108&gt;=N108)),"NIVEAU INVALIDE",IF(OR(Q108="",Q108&lt;1,Q108&gt;20),"JET REQUIS / INVALIDE","OK"))))</x:f>
      </x:c>
    </x:row>
  </x:sheetData>
  <x:mergeCells>
    <x:mergeCell ref="A1:L1"/>
    <x:mergeCell ref="A2:L2"/>
  </x:mergeCells>
  <x:conditionalFormatting sqref="T6:T108">
    <x:cfRule type="expression" dxfId="8" priority="1">
      <x:formula>AND(T6&lt;&gt;"",T6&lt;&gt;"OK")</x:formula>
    </x:cfRule>
  </x:conditionalFormatting>
  <x:dataValidations count="2">
    <x:dataValidation type="list" sqref="C6:C108">
      <x:formula1>"Achat,Forge,Consommable,Service / outils,Action / autre"</x:formula1>
    </x:dataValidation>
    <x:dataValidation type="list" sqref="M6:M108">
      <x:formula1>"Arme,Armure/bouclier,Autre objet"</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5" hidden="0" customWidth="1"/>
    <x:col min="2" max="2" width="51" hidden="0" customWidth="1"/>
    <x:col min="3" max="3" width="16" hidden="0" customWidth="1"/>
    <x:col min="4" max="4" width="16" hidden="0" customWidth="1"/>
    <x:col min="5" max="5" width="24" hidden="0" customWidth="1"/>
    <x:col min="6" max="6" width="27" hidden="0" customWidth="1"/>
    <x:col min="7" max="7" width="23" hidden="0" customWidth="1"/>
    <x:col min="8" max="8" width="59" hidden="0" customWidth="1"/>
    <x:col min="9" max="9" width="20" hidden="0" customWidth="1"/>
    <x:col min="10" max="10" width="17" hidden="0" customWidth="1"/>
  </x:cols>
  <x:sheetData>
    <x:row r="1" ht="36" customHeight="1">
      <x:c r="A1" s="4" t="str">
        <x:v>SUIVI FINANCIER — notes du classeur source</x:v>
      </x:c>
      <x:c r="B1" s="4"/>
      <x:c r="C1" s="4"/>
      <x:c r="D1" s="4"/>
      <x:c r="E1" s="4"/>
      <x:c r="F1" s="4"/>
      <x:c r="G1" s="4"/>
      <x:c r="H1" s="4"/>
      <x:c r="I1" s="4"/>
      <x:c r="J1" s="4"/>
    </x:row>
    <x:row r="2" ht="27" customHeight="1">
      <x:c r="A2" s="11" t="str">
        <x:v>Les sommes indiquées ne sont pas nécessairement des transactions finalisées. Historique incomplet : aucune dépense reconstituée par supposition.</x:v>
      </x:c>
      <x:c r="B2" s="11"/>
      <x:c r="C2" s="11"/>
      <x:c r="D2" s="11"/>
      <x:c r="E2" s="11"/>
      <x:c r="F2" s="11"/>
      <x:c r="G2" s="11"/>
      <x:c r="H2" s="11"/>
      <x:c r="I2" s="11"/>
      <x:c r="J2" s="11"/>
    </x:row>
    <x:row r="4" ht="30" customHeight="1">
      <x:c r="A4" s="19" t="str">
        <x:v>Joueur</x:v>
      </x:c>
      <x:c r="B4" s="19" t="str">
        <x:v>Argent annoncé (po)</x:v>
      </x:c>
      <x:c r="C4" s="19" t="str">
        <x:v>Total déclaré (po)</x:v>
      </x:c>
      <x:c r="D4" s="19" t="str">
        <x:v>Reste recalculé (po)</x:v>
      </x:c>
      <x:c r="E4" s="19" t="str">
        <x:v>Interprétation</x:v>
      </x:c>
    </x:row>
    <x:row r="5" ht="47" customHeight="1">
      <x:c r="A5" t="str">
        <x:v>Flo</x:v>
      </x:c>
      <x:c r="B5" s="60" t="n">
        <x:v>71672</x:v>
      </x:c>
      <x:c r="C5" s="60" t="n">
        <x:v>59000</x:v>
      </x:c>
      <x:c r="D5" s="60" t="n">
        <x:f>B5-C5</x:f>
        <x:v>12672</x:v>
      </x:c>
      <x:c r="E5" s="76" t="str">
        <x:v>Source Flo!B34:C36 : calcul du reste cohérent (12 672).</x:v>
      </x:c>
    </x:row>
    <x:row r="6" ht="47" customHeight="1">
      <x:c r="A6" t="str">
        <x:v>Thibault</x:v>
      </x:c>
      <x:c r="B6" s="60"/>
      <x:c r="C6" s="60"/>
      <x:c r="D6" s="60" t="n">
        <x:v>38533</x:v>
      </x:c>
      <x:c r="E6" s="76" t="str">
        <x:v>Le seul « reste » indiqué est 38 533 po ; sous-total affiché 0 sans achats chiffrés.</x:v>
      </x:c>
    </x:row>
    <x:row r="7" ht="47" customHeight="1">
      <x:c r="A7" t="str">
        <x:v>Nono</x:v>
      </x:c>
      <x:c r="B7" s="60"/>
      <x:c r="C7" s="60"/>
      <x:c r="D7" s="60"/>
      <x:c r="E7" s="76" t="str">
        <x:v>Deux montants isolés : G25 = 40 688 ; G26 = 18 871. Signification non certaine.</x:v>
      </x:c>
    </x:row>
    <x:row r="8" ht="47" customHeight="1">
      <x:c r="A8" t="str">
        <x:v>Thaïs</x:v>
      </x:c>
      <x:c r="B8" s="60"/>
      <x:c r="C8" s="60"/>
      <x:c r="D8" s="60"/>
      <x:c r="E8" s="76" t="str">
        <x:v>La cellule TOTAL de la source (ligne 96) est cassée (#REF!) ; budgets non validés.</x:v>
      </x:c>
    </x:row>
    <x:row r="11" ht="30" customHeight="1">
      <x:c r="A11" s="19" t="str">
        <x:v>Joueur</x:v>
      </x:c>
      <x:c r="B11" s="19" t="str">
        <x:v>Objet / opération</x:v>
      </x:c>
      <x:c r="C11" s="19" t="str">
        <x:v>Min (po)</x:v>
      </x:c>
      <x:c r="D11" s="19" t="str">
        <x:v>Max (po)</x:v>
      </x:c>
      <x:c r="E11" s="19" t="str">
        <x:v>Montant source (po)</x:v>
      </x:c>
      <x:c r="F11" s="19" t="str">
        <x:v>Nature</x:v>
      </x:c>
      <x:c r="G11" s="19" t="str">
        <x:v>Paiement confirmé ?</x:v>
      </x:c>
      <x:c r="H11" s="19" t="str">
        <x:v>Remarque</x:v>
      </x:c>
      <x:c r="I11" s="19" t="str">
        <x:v>Provenance</x:v>
      </x:c>
      <x:c r="J11" s="19" t="str">
        <x:v>Accord MJ ?</x:v>
      </x:c>
    </x:row>
    <x:row r="12">
      <x:c r="A12" t="str">
        <x:v>Thaïs</x:v>
      </x:c>
      <x:c r="B12" t="str">
        <x:v>Recopier rituel Contact autre plan</x:v>
      </x:c>
      <x:c r="C12" s="60" t="n">
        <x:v>250</x:v>
      </x:c>
      <x:c r="D12" s="60" t="n">
        <x:v>250</x:v>
      </x:c>
      <x:c r="E12" s="82" t="n">
        <x:v>250</x:v>
      </x:c>
      <x:c r="F12" t="str">
        <x:v>Prix inscrit / négociation</x:v>
      </x:c>
      <x:c r="G12" t="str">
        <x:v>Non précisé</x:v>
      </x:c>
      <x:c r="H12" s="76" t="str"/>
      <x:c r="I12" t="str">
        <x:v>Thaïs!A83:F83</x:v>
      </x:c>
      <x:c r="J12" t="str">
        <x:v>À vérifier</x:v>
      </x:c>
    </x:row>
    <x:row r="13">
      <x:c r="A13" t="str">
        <x:v>Thaïs</x:v>
      </x:c>
      <x:c r="B13" t="str">
        <x:v>Sac sans fond</x:v>
      </x:c>
      <x:c r="C13" s="60" t="n">
        <x:v>101</x:v>
      </x:c>
      <x:c r="D13" s="60" t="n">
        <x:v>500</x:v>
      </x:c>
      <x:c r="E13" s="82" t="n">
        <x:v>400</x:v>
      </x:c>
      <x:c r="F13" t="str">
        <x:v>Prix inscrit / négociation</x:v>
      </x:c>
      <x:c r="G13" t="str">
        <x:v>Non précisé</x:v>
      </x:c>
      <x:c r="H13" s="76" t="str"/>
      <x:c r="I13" t="str">
        <x:v>Thaïs!A84:F84</x:v>
      </x:c>
      <x:c r="J13" t="str">
        <x:v>À vérifier</x:v>
      </x:c>
    </x:row>
    <x:row r="14">
      <x:c r="A14" t="str">
        <x:v>Thaïs</x:v>
      </x:c>
      <x:c r="B14" t="str">
        <x:v>Cape Mountebank</x:v>
      </x:c>
      <x:c r="C14" s="60" t="n">
        <x:v>501</x:v>
      </x:c>
      <x:c r="D14" s="60" t="n">
        <x:v>5000</x:v>
      </x:c>
      <x:c r="E14" s="82" t="n">
        <x:v>4000</x:v>
      </x:c>
      <x:c r="F14" t="str">
        <x:v>Prix inscrit / négociation</x:v>
      </x:c>
      <x:c r="G14" t="str">
        <x:v>Non précisé</x:v>
      </x:c>
      <x:c r="H14" s="76" t="str"/>
      <x:c r="I14" t="str">
        <x:v>Thaïs!A85:F85</x:v>
      </x:c>
      <x:c r="J14" t="str">
        <x:v>À vérifier</x:v>
      </x:c>
    </x:row>
    <x:row r="15">
      <x:c r="A15" t="str">
        <x:v>Thaïs</x:v>
      </x:c>
      <x:c r="B15" t="str">
        <x:v>Anneau de stockage de sorts</x:v>
      </x:c>
      <x:c r="C15" s="60" t="n">
        <x:v>501</x:v>
      </x:c>
      <x:c r="D15" s="60" t="n">
        <x:v>5000</x:v>
      </x:c>
      <x:c r="E15" s="82" t="n">
        <x:v>4312</x:v>
      </x:c>
      <x:c r="F15" t="str">
        <x:v>Prix inscrit / négociation</x:v>
      </x:c>
      <x:c r="G15" t="str">
        <x:v>Non précisé</x:v>
      </x:c>
      <x:c r="H15" s="76" t="str"/>
      <x:c r="I15" t="str">
        <x:v>Thaïs!A86:F86</x:v>
      </x:c>
      <x:c r="J15" t="str">
        <x:v>À vérifier</x:v>
      </x:c>
    </x:row>
    <x:row r="16">
      <x:c r="A16" t="str">
        <x:v>Thaïs</x:v>
      </x:c>
      <x:c r="B16" t="str">
        <x:v>Upgrade rod of the pact keeper</x:v>
      </x:c>
      <x:c r="C16" s="60" t="n">
        <x:v>25000</x:v>
      </x:c>
      <x:c r="D16" s="60" t="n">
        <x:v>30000</x:v>
      </x:c>
      <x:c r="E16" s="82" t="n">
        <x:v>19000</x:v>
      </x:c>
      <x:c r="F16" t="str">
        <x:v>Prix inscrit / négociation</x:v>
      </x:c>
      <x:c r="G16" t="str">
        <x:v>Non précisé</x:v>
      </x:c>
      <x:c r="H16" s="76" t="str">
        <x:v>upgrade en +2 dernier tiers | Une fois par jour, effet repos court sur effets warlock</x:v>
      </x:c>
      <x:c r="I16" t="str">
        <x:v>Thaïs!A87:F87</x:v>
      </x:c>
      <x:c r="J16" t="str">
        <x:v>À vérifier</x:v>
      </x:c>
    </x:row>
    <x:row r="17">
      <x:c r="A17" t="str">
        <x:v>Thaïs</x:v>
      </x:c>
      <x:c r="B17" t="str">
        <x:v>Enchanter armure de cuir cloutee +1 -&gt; changepeau chgt apparence 5 fois/jour</x:v>
      </x:c>
      <x:c r="C17" s="60"/>
      <x:c r="D17" s="60"/>
      <x:c r="E17" s="82" t="n">
        <x:v>2180</x:v>
      </x:c>
      <x:c r="F17" t="str">
        <x:v>Prix inscrit / négociation</x:v>
      </x:c>
      <x:c r="G17" t="str">
        <x:v>Non précisé</x:v>
      </x:c>
      <x:c r="H17" s="76" t="str"/>
      <x:c r="I17" t="str">
        <x:v>Thaïs!A88:F88</x:v>
      </x:c>
      <x:c r="J17" t="str">
        <x:v>À vérifier</x:v>
      </x:c>
    </x:row>
    <x:row r="18">
      <x:c r="A18" t="str">
        <x:v>Thaïs</x:v>
      </x:c>
      <x:c r="B18" t="str">
        <x:v>Armure +2, changepeau permanent</x:v>
      </x:c>
      <x:c r="C18" s="60"/>
      <x:c r="D18" s="60"/>
      <x:c r="E18" s="82" t="n">
        <x:v>14790</x:v>
      </x:c>
      <x:c r="F18" t="str">
        <x:v>Prix inscrit / négociation</x:v>
      </x:c>
      <x:c r="G18" t="str">
        <x:v>Non précisé</x:v>
      </x:c>
      <x:c r="H18" s="76" t="str"/>
      <x:c r="I18" t="str">
        <x:v>Thaïs!A89:F89</x:v>
      </x:c>
      <x:c r="J18" t="str">
        <x:v>À vérifier</x:v>
      </x:c>
    </x:row>
    <x:row r="19">
      <x:c r="A19" t="str">
        <x:v>Thaïs</x:v>
      </x:c>
      <x:c r="B19" t="str">
        <x:v>Tankard of sobriety</x:v>
      </x:c>
      <x:c r="C19" s="60" t="n">
        <x:v>50</x:v>
      </x:c>
      <x:c r="D19" s="60" t="n">
        <x:v>100</x:v>
      </x:c>
      <x:c r="E19" s="82" t="n">
        <x:v>100</x:v>
      </x:c>
      <x:c r="F19" t="str">
        <x:v>Prix inscrit / négociation</x:v>
      </x:c>
      <x:c r="G19" t="str">
        <x:v>Non précisé</x:v>
      </x:c>
      <x:c r="H19" s="76" t="str"/>
      <x:c r="I19" t="str">
        <x:v>Thaïs!A92:F92</x:v>
      </x:c>
      <x:c r="J19" t="str">
        <x:v>À vérifier</x:v>
      </x:c>
    </x:row>
    <x:row r="20">
      <x:c r="A20" t="str">
        <x:v>Thaïs</x:v>
      </x:c>
      <x:c r="B20" t="str">
        <x:v>Cleansing stone</x:v>
      </x:c>
      <x:c r="C20" s="60" t="n">
        <x:v>50</x:v>
      </x:c>
      <x:c r="D20" s="60" t="n">
        <x:v>100</x:v>
      </x:c>
      <x:c r="E20" s="82"/>
      <x:c r="F20" t="str">
        <x:v>Prix inscrit / négociation</x:v>
      </x:c>
      <x:c r="G20" t="str">
        <x:v>Non précisé</x:v>
      </x:c>
      <x:c r="H20" s="76" t="str"/>
      <x:c r="I20" t="str">
        <x:v>Thaïs!A93:F93</x:v>
      </x:c>
      <x:c r="J20" t="str">
        <x:v>À vérifier</x:v>
      </x:c>
    </x:row>
    <x:row r="21">
      <x:c r="A21" t="str">
        <x:v>Thaïs</x:v>
      </x:c>
      <x:c r="B21" t="str">
        <x:v>Spellshard</x:v>
      </x:c>
      <x:c r="C21" s="60" t="n">
        <x:v>50</x:v>
      </x:c>
      <x:c r="D21" s="60" t="n">
        <x:v>100</x:v>
      </x:c>
      <x:c r="E21" s="82" t="n">
        <x:v>100</x:v>
      </x:c>
      <x:c r="F21" t="str">
        <x:v>Prix inscrit / négociation</x:v>
      </x:c>
      <x:c r="G21" t="str">
        <x:v>Non précisé</x:v>
      </x:c>
      <x:c r="H21" s="76" t="str"/>
      <x:c r="I21" t="str">
        <x:v>Thaïs!A94:F94</x:v>
      </x:c>
      <x:c r="J21" t="str">
        <x:v>À vérifier</x:v>
      </x:c>
    </x:row>
    <x:row r="22">
      <x:c r="A22" t="str">
        <x:v>Thaïs</x:v>
      </x:c>
      <x:c r="B22" t="str">
        <x:v>2 potions de soin</x:v>
      </x:c>
      <x:c r="C22" s="60" t="n">
        <x:v>100</x:v>
      </x:c>
      <x:c r="D22" s="60" t="n">
        <x:v>100</x:v>
      </x:c>
      <x:c r="E22" s="82" t="n">
        <x:v>100</x:v>
      </x:c>
      <x:c r="F22" t="str">
        <x:v>Prix inscrit / négociation</x:v>
      </x:c>
      <x:c r="G22" t="str">
        <x:v>Non précisé</x:v>
      </x:c>
      <x:c r="H22" s="76" t="str"/>
      <x:c r="I22" t="str">
        <x:v>Thaïs!A95:F95</x:v>
      </x:c>
      <x:c r="J22" t="str">
        <x:v>À vérifier</x:v>
      </x:c>
    </x:row>
    <x:row r="23">
      <x:c r="A23" t="str">
        <x:v>Flo</x:v>
      </x:c>
      <x:c r="B23" t="str">
        <x:v>+3ifier l'armure</x:v>
      </x:c>
      <x:c r="C23" s="60"/>
      <x:c r="D23" s="60"/>
      <x:c r="E23" s="82" t="n">
        <x:v>17500</x:v>
      </x:c>
      <x:c r="F23" t="str">
        <x:v>Devis retenu ?</x:v>
      </x:c>
      <x:c r="G23" t="str">
        <x:v>Non précisé</x:v>
      </x:c>
      <x:c r="H23" s="76" t="str"/>
      <x:c r="I23" t="str">
        <x:v>Flo!A27:H27</x:v>
      </x:c>
      <x:c r="J23" t="str">
        <x:v>À vérifier</x:v>
      </x:c>
    </x:row>
    <x:row r="24">
      <x:c r="A24" t="str">
        <x:v>Flo</x:v>
      </x:c>
      <x:c r="B24" t="str">
        <x:v>+3ifier le bouclier</x:v>
      </x:c>
      <x:c r="C24" s="60"/>
      <x:c r="D24" s="60"/>
      <x:c r="E24" s="82" t="n">
        <x:v>0</x:v>
      </x:c>
      <x:c r="F24" t="str">
        <x:v>Devis retenu ?</x:v>
      </x:c>
      <x:c r="G24" t="str">
        <x:v>Non précisé</x:v>
      </x:c>
      <x:c r="H24" s="76" t="str"/>
      <x:c r="I24" t="str">
        <x:v>Flo!A28:H28</x:v>
      </x:c>
      <x:c r="J24" t="str">
        <x:v>À vérifier</x:v>
      </x:c>
    </x:row>
    <x:row r="25">
      <x:c r="A25" t="str">
        <x:v>Flo</x:v>
      </x:c>
      <x:c r="B25" t="str">
        <x:v>bouclier gardesort +3 (2 slots pris)</x:v>
      </x:c>
      <x:c r="C25" s="60"/>
      <x:c r="D25" s="60"/>
      <x:c r="E25" s="82" t="n">
        <x:v>41500</x:v>
      </x:c>
      <x:c r="F25" t="str">
        <x:v>Devis retenu ?</x:v>
      </x:c>
      <x:c r="G25" t="str">
        <x:v>Non précisé</x:v>
      </x:c>
      <x:c r="H25" s="76" t="str"/>
      <x:c r="I25" t="str">
        <x:v>Flo!A31:H31</x:v>
      </x:c>
      <x:c r="J25" t="str">
        <x:v>À vérifier</x:v>
      </x:c>
    </x:row>
    <x:row r="26">
      <x:c r="A26" t="str">
        <x:v>Nono</x:v>
      </x:c>
      <x:c r="B26" t="str">
        <x:v>Bâton des forets</x:v>
      </x:c>
      <x:c r="C26" s="60"/>
      <x:c r="D26" s="60"/>
      <x:c r="E26" s="82" t="n">
        <x:v>5000</x:v>
      </x:c>
      <x:c r="F26" t="str">
        <x:v>Devis MJ</x:v>
      </x:c>
      <x:c r="G26" t="str">
        <x:v>Non précisé</x:v>
      </x:c>
      <x:c r="H26" s="76" t="str">
        <x:v>5000</x:v>
      </x:c>
      <x:c r="I26" t="str">
        <x:v>Nono!B2:N2</x:v>
      </x:c>
      <x:c r="J26" t="str">
        <x:v>À vérifier</x:v>
      </x:c>
    </x:row>
    <x:row r="27">
      <x:c r="A27" t="str">
        <x:v>Nono</x:v>
      </x:c>
      <x:c r="B27" t="str">
        <x:v>Anneau soin mystique</x:v>
      </x:c>
      <x:c r="C27" s="60"/>
      <x:c r="D27" s="60"/>
      <x:c r="E27" s="82" t="n">
        <x:v>12800</x:v>
      </x:c>
      <x:c r="F27" t="str">
        <x:v>Devis MJ</x:v>
      </x:c>
      <x:c r="G27" t="str">
        <x:v>Non précisé</x:v>
      </x:c>
      <x:c r="H27" s="76" t="str">
        <x:v>max 12 800</x:v>
      </x:c>
      <x:c r="I27" t="str">
        <x:v>Nono!B4:N4</x:v>
      </x:c>
      <x:c r="J27" t="str">
        <x:v>À vérifier</x:v>
      </x:c>
    </x:row>
    <x:row r="28">
      <x:c r="A28" t="str">
        <x:v>Nono</x:v>
      </x:c>
      <x:c r="B28" t="str">
        <x:v>Anneau de stockage de sort</x:v>
      </x:c>
      <x:c r="C28" s="60"/>
      <x:c r="D28" s="60"/>
      <x:c r="E28" s="82" t="n">
        <x:v>4012</x:v>
      </x:c>
      <x:c r="F28" t="str">
        <x:v>Devis MJ</x:v>
      </x:c>
      <x:c r="G28" t="str">
        <x:v>Non précisé</x:v>
      </x:c>
      <x:c r="H28" s="76" t="str">
        <x:v>Milo : 4012</x:v>
      </x:c>
      <x:c r="I28" t="str">
        <x:v>Nono!B6:N6</x:v>
      </x:c>
      <x:c r="J28" t="str">
        <x:v>À vérifier</x:v>
      </x:c>
    </x:row>
  </x:sheetData>
  <x:mergeCells>
    <x:mergeCell ref="A1:J1"/>
    <x:mergeCell ref="A2:J2"/>
  </x:mergeCells>
  <x:dataValidations count="2">
    <x:dataValidation type="list" sqref="G12:G28">
      <x:formula1>"Non précisé,Oui,Non"</x:formula1>
    </x:dataValidation>
    <x:dataValidation type="list" sqref="J12:J28">
      <x:formula1>"À vérifier,Validé,Refusé"</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60" hidden="0" customWidth="1"/>
    <x:col min="3" max="3" width="93" hidden="0" customWidth="1"/>
    <x:col min="4" max="4" width="22" hidden="0" customWidth="1"/>
    <x:col min="5" max="5" width="16" hidden="0" customWidth="1"/>
    <x:col min="6" max="6" width="36" hidden="0" customWidth="1"/>
  </x:cols>
  <x:sheetData>
    <x:row r="1" ht="36" customHeight="1">
      <x:c r="A1" s="4" t="str">
        <x:v>POINTS À TRANCHER — règles &amp; demandes</x:v>
      </x:c>
      <x:c r="B1" s="4"/>
      <x:c r="C1" s="4"/>
      <x:c r="D1" s="4"/>
      <x:c r="E1" s="4"/>
      <x:c r="F1" s="4"/>
    </x:row>
    <x:row r="2" ht="27" customHeight="1">
      <x:c r="A2" s="11" t="str">
        <x:v>Séparer les choix structurants du système économique et les questions concrètes des joueurs.</x:v>
      </x:c>
      <x:c r="B2" s="11"/>
      <x:c r="C2" s="11"/>
      <x:c r="D2" s="11"/>
      <x:c r="E2" s="11"/>
      <x:c r="F2" s="11"/>
    </x:row>
    <x:row r="5" ht="30" customHeight="1">
      <x:c r="A5" s="19" t="str">
        <x:v>N°</x:v>
      </x:c>
      <x:c r="B5" s="19" t="str">
        <x:v>Décision / question</x:v>
      </x:c>
      <x:c r="C5" s="19" t="str">
        <x:v>Proposition de travail</x:v>
      </x:c>
      <x:c r="D5" s="19" t="str">
        <x:v>Statut</x:v>
      </x:c>
      <x:c r="E5" s="19" t="str">
        <x:v>Priorité</x:v>
      </x:c>
      <x:c r="F5" s="19" t="str">
        <x:v>Source / justification</x:v>
      </x:c>
    </x:row>
    <x:row r="6" ht="45" customHeight="1">
      <x:c r="A6" t="str">
        <x:v>R01</x:v>
      </x:c>
      <x:c r="B6" s="76" t="str">
        <x:v>Quel est le coût exact du bonus d’altération ?</x:v>
      </x:c>
      <x:c r="C6" s="76" t="str">
        <x:v>Conserver le barème triangulaire existant pour éviter de repricer rétroactivement les objets.</x:v>
      </x:c>
      <x:c r="D6" t="str">
        <x:v>À valider</x:v>
      </x:c>
      <x:c r="E6" t="str">
        <x:v>Haute</x:v>
      </x:c>
      <x:c r="F6" t="str">
        <x:v>Règles!A7:E17</x:v>
      </x:c>
    </x:row>
    <x:row r="7" ht="45" customHeight="1">
      <x:c r="A7" t="str">
        <x:v>R02</x:v>
      </x:c>
      <x:c r="B7" s="76" t="str">
        <x:v>Comment attribuer le niveau équivalent aux propriétés 3.5 adaptées ?</x:v>
      </x:c>
      <x:c r="C7" s="76" t="str">
        <x:v>Ne pas reprendre automatiquement Gemmaline. Équilibrer chaque propriété pour D&amp;D 5e ; Sournoise +1 et Frugale +1 sont confirmées par l'exemple source et le MJ.</x:v>
      </x:c>
      <x:c r="D7" t="str">
        <x:v>Partiellement acté</x:v>
      </x:c>
      <x:c r="E7" t="str">
        <x:v>Moyenne</x:v>
      </x:c>
      <x:c r="F7" t="str">
        <x:v>Règles!A24 ; décision MJ : Frugale +1</x:v>
      </x:c>
    </x:row>
    <x:row r="8" ht="45" customHeight="1">
      <x:c r="A8" t="str">
        <x:v>R03</x:v>
      </x:c>
      <x:c r="B8" s="76" t="str">
        <x:v>Limite de slots et bonus d'altération maximal ?</x:v>
      </x:c>
      <x:c r="C8" s="76" t="str">
        <x:v>Acté : une arme +B a B slots, une propriété +2 consomme 2 slots. Le même contrôle est appliqué provisoirement aux équipements forgés ; confirmer la règle pour armures/boucliers et autres objets, et l'accès aux bonus +4/+5 en D&amp;D 5e.</x:v>
      </x:c>
      <x:c r="D8" t="str">
        <x:v>Partiellement acté</x:v>
      </x:c>
      <x:c r="E8" t="str">
        <x:v>Haute</x:v>
      </x:c>
      <x:c r="F8" t="str">
        <x:v>Règles!A7:C17 ; décision MJ : arme +2 = 2 slots</x:v>
      </x:c>
    </x:row>
    <x:row r="9" ht="45" customHeight="1">
      <x:c r="A9" t="str">
        <x:v>R04</x:v>
      </x:c>
      <x:c r="B9" s="76" t="str">
        <x:v>Prix final : remise, risque, matériaux rares ?</x:v>
      </x:c>
      <x:c r="C9" s="76" t="str">
        <x:v>Prix plafond sur niveau N, d20 prix réel &lt;= plafond ; si surcoût simulé, convertir en matériau/service ou incident.</x:v>
      </x:c>
      <x:c r="D9" t="str">
        <x:v>Proposition intégrée</x:v>
      </x:c>
      <x:c r="E9" t="str">
        <x:v>Moyenne</x:v>
      </x:c>
      <x:c r="F9" t="str">
        <x:v>Règles!D19:D20</x:v>
      </x:c>
    </x:row>
    <x:row r="10" ht="45" customHeight="1">
      <x:c r="A10" t="str">
        <x:v>R05</x:v>
      </x:c>
      <x:c r="B10" s="76" t="str">
        <x:v>Forge pour objets merveilleux / consommables ?</x:v>
      </x:c>
      <x:c r="C10" s="76" t="str">
        <x:v>Objets autonomes : N manuel aligné sur la puissance des armes et slots, coefficient 0,80 ; consommables à traiter à part.</x:v>
      </x:c>
      <x:c r="D10" t="str">
        <x:v>À calibrer</x:v>
      </x:c>
      <x:c r="E10" t="str">
        <x:v>Haute</x:v>
      </x:c>
      <x:c r="F10" t="str">
        <x:v>Règles!E7 (?), 5e</x:v>
      </x:c>
    </x:row>
    <x:row r="11" ht="45" customHeight="1">
      <x:c r="A11" t="str">
        <x:v>R06</x:v>
      </x:c>
      <x:c r="B11" s="76" t="str">
        <x:v>Prix de référence des objets achetés ?</x:v>
      </x:c>
      <x:c r="C11" s="76" t="str">
        <x:v>Ne plus utiliser la rareté comme seule grille de prix ; la rareté régit la disponibilité et les délais.</x:v>
      </x:c>
      <x:c r="D11" t="str">
        <x:v>Proposition intégrée</x:v>
      </x:c>
      <x:c r="E11" t="str">
        <x:v>Haute</x:v>
      </x:c>
      <x:c r="F11" t="str">
        <x:v>Règles!A2:C5 / D&amp;D 2024</x:v>
      </x:c>
    </x:row>
    <x:row r="12" ht="45" customHeight="1">
      <x:c r="A12" t="str">
        <x:v>R07</x:v>
      </x:c>
      <x:c r="B12" s="76" t="str">
        <x:v>Les effets 3.5 fonctionnent-ils tels quels en 5e ?</x:v>
      </x:c>
      <x:c r="C12" s="76" t="str">
        <x:v>Non. Convertir les textes, actions, DD, bonus d’attaque de base (BBA), charges et fréquence.</x:v>
      </x:c>
      <x:c r="D12" t="str">
        <x:v>À valider</x:v>
      </x:c>
      <x:c r="E12" t="str">
        <x:v>Haute</x:v>
      </x:c>
      <x:c r="F12" t="str">
        <x:v>Conversion des effets 3.5 pour D&amp;D 5e</x:v>
      </x:c>
    </x:row>
    <x:row r="13" ht="45" customHeight="1">
      <x:c r="A13" t="str">
        <x:v>R08</x:v>
      </x:c>
      <x:c r="B13" s="76" t="str">
        <x:v>Lien / harmonisation : transfert d’effet ?</x:v>
      </x:c>
      <x:c r="C13" s="76" t="str">
        <x:v>L’harmonisation ne disparaît pas automatiquement si un pouvoir est transféré sur une autre pièce.</x:v>
      </x:c>
      <x:c r="D13" t="str">
        <x:v>À définir</x:v>
      </x:c>
      <x:c r="E13" t="str">
        <x:v>Haute</x:v>
      </x:c>
      <x:c r="F13" t="str">
        <x:v>Marty!B9</x:v>
      </x:c>
    </x:row>
    <x:row r="14" ht="45" customHeight="1">
      <x:c r="A14" t="str">
        <x:v>R09</x:v>
      </x:c>
      <x:c r="B14" s="76" t="str">
        <x:v>Effets identiques / bonus au DD cumulés ?</x:v>
      </x:c>
      <x:c r="C14" s="76" t="str">
        <x:v>Trancher pour chaque combinaison ; prévenir les effets de cumul de DD, CA et bonus d’attaque.</x:v>
      </x:c>
      <x:c r="D14" t="str">
        <x:v>À définir</x:v>
      </x:c>
      <x:c r="E14" t="str">
        <x:v>Haute</x:v>
      </x:c>
      <x:c r="F14" t="str">
        <x:v>Thaïs!F2:I19, Flo!H21</x:v>
      </x:c>
    </x:row>
    <x:row r="15" ht="45" customHeight="1">
      <x:c r="A15" t="str">
        <x:v>R10</x:v>
      </x:c>
      <x:c r="B15" s="76" t="str">
        <x:v>Une amélioration garde-t-elle les effets antérieurs ?</x:v>
      </x:c>
      <x:c r="C15" s="76" t="str">
        <x:v>Par défaut oui, à condition de payer la différence de prix entre versions complètes.</x:v>
      </x:c>
      <x:c r="D15" t="str">
        <x:v>À valider</x:v>
      </x:c>
      <x:c r="E15" t="str">
        <x:v>Moyenne</x:v>
      </x:c>
      <x:c r="F15" t="str">
        <x:v>Règles!A21:A23</x:v>
      </x:c>
    </x:row>
    <x:row r="16" ht="45" customHeight="1">
      <x:c r="A16" t="str">
        <x:v>R11</x:v>
      </x:c>
      <x:c r="B16" s="76" t="str">
        <x:v>Marché magique : disponibilité et délai ?</x:v>
      </x:c>
      <x:c r="C16" s="76" t="str">
        <x:v>Définir stock, niveau de rareté accessible, artisan, matières et délai par localité.</x:v>
      </x:c>
      <x:c r="D16" t="str">
        <x:v>À définir</x:v>
      </x:c>
      <x:c r="E16" t="str">
        <x:v>Moyenne</x:v>
      </x:c>
      <x:c r="F16" t="str">
        <x:v>Économie de campagne</x:v>
      </x:c>
    </x:row>
    <x:row r="17" ht="45" customHeight="1">
      <x:c r="A17" t="str">
        <x:v>R12</x:v>
      </x:c>
      <x:c r="B17" s="76" t="str">
        <x:v>Qu’est-ce qui compte comme achat confirmé ?</x:v>
      </x:c>
      <x:c r="C17" s="76" t="str">
        <x:v>Exiger statut « Payé » ou validation explicite ; « Oui / retenu » seul n’est pas une transaction.</x:v>
      </x:c>
      <x:c r="D17" t="str">
        <x:v>À valider</x:v>
      </x:c>
      <x:c r="E17" t="str">
        <x:v>Haute</x:v>
      </x:c>
      <x:c r="F17" t="str">
        <x:v>Onglets joueurs</x:v>
      </x:c>
    </x:row>
    <x:row r="18" ht="45" customHeight="1">
      <x:c r="A18" t="str">
        <x:v>J01</x:v>
      </x:c>
      <x:c r="B18" s="76" t="str">
        <x:v>Thaïs : sceptre de garant du pacte +2/+3 et récupération d’Arcanum mystique ?</x:v>
      </x:c>
      <x:c r="C18" s="76" t="str">
        <x:v>Ne pas présumer qu’un effet de repos court recharge Arcanum mystique ; réponse spécifique MJ.</x:v>
      </x:c>
      <x:c r="D18" t="str">
        <x:v>Question ouverte</x:v>
      </x:c>
      <x:c r="E18" t="str">
        <x:v>Haute</x:v>
      </x:c>
      <x:c r="F18" t="str">
        <x:v>Thaïs!A45:B47, B3</x:v>
      </x:c>
    </x:row>
    <x:row r="19" ht="45" customHeight="1">
      <x:c r="A19" t="str">
        <x:v>J02</x:v>
      </x:c>
      <x:c r="B19" s="76" t="str">
        <x:v>Thaïs : Anneau de stockage de sorts et choix du niveau ?</x:v>
      </x:c>
      <x:c r="C19" s="76" t="str">
        <x:v>Vérifier le texte de la version d’objet utilisée et les niveaux des sorts stockés.</x:v>
      </x:c>
      <x:c r="D19" t="str">
        <x:v>Question ouverte</x:v>
      </x:c>
      <x:c r="E19" t="str">
        <x:v>Moyenne</x:v>
      </x:c>
      <x:c r="F19" t="str">
        <x:v>Thaïs!A48</x:v>
      </x:c>
    </x:row>
    <x:row r="20" ht="45" customHeight="1">
      <x:c r="A20" t="str">
        <x:v>J03</x:v>
      </x:c>
      <x:c r="B20" s="76" t="str">
        <x:v>Marty : protection contre les armes / absorption des éléments sur armure ?</x:v>
      </x:c>
      <x:c r="C20" s="76" t="str">
        <x:v>Définir activation, déclenchement, action/réaction, charges et durée ; exclure la permanence gratuite.</x:v>
      </x:c>
      <x:c r="D20" t="str">
        <x:v>Question ouverte</x:v>
      </x:c>
      <x:c r="E20" t="str">
        <x:v>Haute</x:v>
      </x:c>
      <x:c r="F20" t="str">
        <x:v>Marty!A4:D9</x:v>
      </x:c>
    </x:row>
    <x:row r="21" ht="45" customHeight="1">
      <x:c r="A21" t="str">
        <x:v>J04</x:v>
      </x:c>
      <x:c r="B21" s="76" t="str">
        <x:v>Marty : transposer les pouvoirs d’objets nécessitant harmonisation ?</x:v>
      </x:c>
      <x:c r="C21" s="76" t="str">
        <x:v>Conserver ou redéfinir explicitement l’harmonisation, ne pas la supprimer par défaut.</x:v>
      </x:c>
      <x:c r="D21" t="str">
        <x:v>Question ouverte</x:v>
      </x:c>
      <x:c r="E21" t="str">
        <x:v>Moyenne</x:v>
      </x:c>
      <x:c r="F21" t="str">
        <x:v>Marty!B9</x:v>
      </x:c>
    </x:row>
    <x:row r="22" ht="45" customHeight="1">
      <x:c r="A22" t="str">
        <x:v>J05</x:v>
      </x:c>
      <x:c r="B22" s="76" t="str">
        <x:v>Flo : bouclier gardesort +3 et coût 41 500 po ?</x:v>
      </x:c>
      <x:c r="C22" s="76" t="str">
        <x:v>Le montant ne correspond pas au calcul forge pondéré ; traiter comme devis personnalisé jusqu’à justification.</x:v>
      </x:c>
      <x:c r="D22" t="str">
        <x:v>Question ouverte</x:v>
      </x:c>
      <x:c r="E22" t="str">
        <x:v>Haute</x:v>
      </x:c>
      <x:c r="F22" t="str">
        <x:v>Flo!A31:G31</x:v>
      </x:c>
    </x:row>
    <x:row r="23" ht="45" customHeight="1">
      <x:c r="A23" t="str">
        <x:v>J06</x:v>
      </x:c>
      <x:c r="B23" s="76" t="str">
        <x:v>Nono : anneau de soin mystique et forme animale ?</x:v>
      </x:c>
      <x:c r="C23" s="76" t="str">
        <x:v>Confirmer les effets (capacités, charges, bonus +3) avant de calculer le coût.</x:v>
      </x:c>
      <x:c r="D23" t="str">
        <x:v>Question ouverte</x:v>
      </x:c>
      <x:c r="E23" t="str">
        <x:v>Moyenne</x:v>
      </x:c>
      <x:c r="F23" t="str">
        <x:v>Nono!B4:M12</x:v>
      </x:c>
    </x:row>
    <x:row r="24" ht="45" customHeight="1">
      <x:c r="A24" t="str">
        <x:v>J07</x:v>
      </x:c>
      <x:c r="B24" s="76" t="str">
        <x:v>Thaïs : total de ses achats invalide (#REF!)</x:v>
      </x:c>
      <x:c r="C24" s="76" t="str">
        <x:v>Reconstituer uniquement les transactions payées ; ne pas retenir le TOTAL source.</x:v>
      </x:c>
      <x:c r="D24" t="str">
        <x:v>À corriger</x:v>
      </x:c>
      <x:c r="E24" t="str">
        <x:v>Haute</x:v>
      </x:c>
      <x:c r="F24" t="str">
        <x:v>Thaïs!A96:F96</x:v>
      </x:c>
    </x:row>
    <x:row r="25" ht="45" customHeight="1">
      <x:c r="A25" t="str">
        <x:v>J08</x:v>
      </x:c>
      <x:c r="B25" s="76" t="str">
        <x:v>Flo : armure +3 et bouclier +3 cumulés</x:v>
      </x:c>
      <x:c r="C25" s="76" t="str">
        <x:v>Contrôler la CA globale en D&amp;D 5e et la rareté ; coût seul insuffisant pour l’équilibrage.</x:v>
      </x:c>
      <x:c r="D25" t="str">
        <x:v>À évaluer</x:v>
      </x:c>
      <x:c r="E25" t="str">
        <x:v>Haute</x:v>
      </x:c>
      <x:c r="F25" t="str">
        <x:v>Flo!A27:G31</x:v>
      </x:c>
    </x:row>
  </x:sheetData>
  <x:mergeCells>
    <x:mergeCell ref="A1:F1"/>
    <x:mergeCell ref="A2:F2"/>
  </x:mergeCells>
  <x:conditionalFormatting sqref="E6:E25">
    <x:cfRule type="expression" dxfId="1" priority="1">
      <x:formula>E6="Haute"</x:formula>
    </x:cfRule>
  </x:conditionalFormatting>
  <x:dataValidations count="2">
    <x:dataValidation type="list" sqref="D6:D25">
      <x:formula1>"À définir,À valider,Question ouverte,À évaluer,À corriger,Validé,Refusé"</x:formula1>
    </x:dataValidation>
    <x:dataValidation type="list" sqref="E6:E25">
      <x:formula1>"Haute,Moyenne,Basse"</x:formula1>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x:c r="B1" s="41"/>
      <x:c r="C1" s="41"/>
      <x:c r="D1" s="41"/>
      <x:c r="E1" s="41"/>
    </x:row>
    <x:row r="2" ht="24" customHeight="1">
      <x:c r="A2" s="76" t="str">
        <x:v>Rappels des prix </x:v>
      </x:c>
      <x:c r="B2" s="76" t="str">
        <x:v>Min</x:v>
      </x:c>
      <x:c r="C2" s="76" t="str">
        <x:v>Max</x:v>
      </x:c>
      <x:c r="D2" s="76"/>
      <x:c r="E2" s="76"/>
    </x:row>
    <x:row r="3" ht="24" customHeight="1">
      <x:c r="A3" s="76" t="str">
        <x:v>Non commun</x:v>
      </x:c>
      <x:c r="B3" s="76" t="n">
        <x:v>100</x:v>
      </x:c>
      <x:c r="C3" s="76" t="n">
        <x:v>500</x:v>
      </x:c>
      <x:c r="D3" s="76"/>
      <x:c r="E3" s="76"/>
    </x:row>
    <x:row r="4" ht="24" customHeight="1">
      <x:c r="A4" s="76" t="str">
        <x:v>Rare</x:v>
      </x:c>
      <x:c r="B4" s="76" t="n">
        <x:v>500</x:v>
      </x:c>
      <x:c r="C4" s="76" t="n">
        <x:v>5000</x:v>
      </x:c>
      <x:c r="D4" s="76"/>
      <x:c r="E4" s="76"/>
    </x:row>
    <x:row r="5" ht="24" customHeight="1">
      <x:c r="A5" s="76" t="str">
        <x:v>Très rare</x:v>
      </x:c>
      <x:c r="B5" s="76" t="n">
        <x:v>5000</x:v>
      </x:c>
      <x:c r="C5" s="76" t="n">
        <x:v>50000</x:v>
      </x:c>
      <x:c r="D5" s="76"/>
      <x:c r="E5" s="76"/>
    </x:row>
    <x:row r="6" ht="24" customHeight="1">
      <x:c r="A6" s="76"/>
      <x:c r="B6" s="76"/>
      <x:c r="C6" s="76"/>
      <x:c r="D6" s="76"/>
      <x:c r="E6" s="76"/>
    </x:row>
    <x:row r="7" ht="24" customHeight="1">
      <x:c r="A7" s="76" t="str">
        <x:v>Prix à la forge (arme)</x:v>
      </x:c>
      <x:c r="B7" s="76" t="str">
        <x:v>Bonus d'altération</x:v>
      </x:c>
      <x:c r="C7" s="76" t="str">
        <x:v>Nombre d'effets/sockets</x:v>
      </x:c>
      <x:c r="D7" s="76" t="str">
        <x:v>Prix pour armures et boucliers</x:v>
      </x:c>
      <x:c r="E7" s="76" t="str">
        <x:v>Prix pour objets (?)</x:v>
      </x:c>
    </x:row>
    <x:row r="8" ht="24" customHeight="1">
      <x:c r="A8" s="76" t="n">
        <x:v>1000</x:v>
      </x:c>
      <x:c r="B8" s="76" t="n">
        <x:v>1</x:v>
      </x:c>
      <x:c r="C8" s="76" t="n">
        <x:v>0</x:v>
      </x:c>
      <x:c r="D8" s="76" t="n">
        <x:v>850</x:v>
      </x:c>
      <x:c r="E8" s="76" t="n">
        <x:v>800</x:v>
      </x:c>
    </x:row>
    <x:row r="9" ht="24" customHeight="1">
      <x:c r="A9" s="76" t="n">
        <x:v>4000</x:v>
      </x:c>
      <x:c r="B9" s="76" t="n">
        <x:v>1</x:v>
      </x:c>
      <x:c r="C9" s="76" t="n">
        <x:v>1</x:v>
      </x:c>
      <x:c r="D9" s="76" t="n">
        <x:v>3400</x:v>
      </x:c>
      <x:c r="E9" s="76" t="n">
        <x:v>3200</x:v>
      </x:c>
    </x:row>
    <x:row r="10" ht="24" customHeight="1">
      <x:c r="A10" s="76" t="n">
        <x:v>9000</x:v>
      </x:c>
      <x:c r="B10" s="76" t="n">
        <x:v>2</x:v>
      </x:c>
      <x:c r="C10" s="76" t="n">
        <x:v>0</x:v>
      </x:c>
      <x:c r="D10" s="76" t="n">
        <x:v>7650</x:v>
      </x:c>
      <x:c r="E10" s="76" t="n">
        <x:v>7200</x:v>
      </x:c>
    </x:row>
    <x:row r="11" ht="24" customHeight="1">
      <x:c r="A11" s="76" t="n">
        <x:v>16000</x:v>
      </x:c>
      <x:c r="B11" s="76" t="n">
        <x:v>2</x:v>
      </x:c>
      <x:c r="C11" s="76" t="n">
        <x:v>1</x:v>
      </x:c>
      <x:c r="D11" s="76" t="n">
        <x:v>13600</x:v>
      </x:c>
      <x:c r="E11" s="76" t="n">
        <x:v>12800</x:v>
      </x:c>
    </x:row>
    <x:row r="12" ht="24" customHeight="1">
      <x:c r="A12" s="76" t="n">
        <x:v>25000</x:v>
      </x:c>
      <x:c r="B12" s="76" t="n">
        <x:v>2</x:v>
      </x:c>
      <x:c r="C12" s="76" t="n">
        <x:v>2</x:v>
      </x:c>
      <x:c r="D12" s="76" t="n">
        <x:v>21250</x:v>
      </x:c>
      <x:c r="E12" s="76" t="n">
        <x:v>20000</x:v>
      </x:c>
    </x:row>
    <x:row r="13" ht="24" customHeight="1">
      <x:c r="A13" s="76" t="n">
        <x:v>36000</x:v>
      </x:c>
      <x:c r="B13" s="76" t="n">
        <x:v>3</x:v>
      </x:c>
      <x:c r="C13" s="76" t="n">
        <x:v>0</x:v>
      </x:c>
      <x:c r="D13" s="76" t="n">
        <x:v>30600</x:v>
      </x:c>
      <x:c r="E13" s="76" t="n">
        <x:v>28800</x:v>
      </x:c>
    </x:row>
    <x:row r="14" ht="24" customHeight="1">
      <x:c r="A14" s="76" t="n">
        <x:v>49000</x:v>
      </x:c>
      <x:c r="B14" s="76" t="n">
        <x:v>3</x:v>
      </x:c>
      <x:c r="C14" s="76" t="n">
        <x:v>1</x:v>
      </x:c>
      <x:c r="D14" s="76" t="n">
        <x:v>41650</x:v>
      </x:c>
      <x:c r="E14" s="76" t="n">
        <x:v>39200</x:v>
      </x:c>
    </x:row>
    <x:row r="15" ht="24" customHeight="1">
      <x:c r="A15" s="76" t="n">
        <x:v>64000</x:v>
      </x:c>
      <x:c r="B15" s="76" t="n">
        <x:v>3</x:v>
      </x:c>
      <x:c r="C15" s="76" t="n">
        <x:v>2</x:v>
      </x:c>
      <x:c r="D15" s="76" t="n">
        <x:v>54400</x:v>
      </x:c>
      <x:c r="E15" s="76" t="n">
        <x:v>51200</x:v>
      </x:c>
    </x:row>
    <x:row r="16" ht="24" customHeight="1">
      <x:c r="A16" s="76" t="n">
        <x:v>81000</x:v>
      </x:c>
      <x:c r="B16" s="76" t="n">
        <x:v>3</x:v>
      </x:c>
      <x:c r="C16" s="76" t="n">
        <x:v>3</x:v>
      </x:c>
      <x:c r="D16" s="76" t="n">
        <x:v>68850</x:v>
      </x:c>
      <x:c r="E16" s="76" t="n">
        <x:v>64800</x:v>
      </x:c>
    </x:row>
    <x:row r="17" ht="24" customHeight="1">
      <x:c r="A17" s="76" t="n">
        <x:v>100000</x:v>
      </x:c>
      <x:c r="B17" s="76" t="n">
        <x:v>4</x:v>
      </x:c>
      <x:c r="C17" s="76" t="n">
        <x:v>0</x:v>
      </x:c>
      <x:c r="D17" s="76" t="n">
        <x:v>85000</x:v>
      </x:c>
      <x:c r="E17" s="76" t="n">
        <x:v>80000</x:v>
      </x:c>
    </x:row>
    <x:row r="18" ht="24" customHeight="1">
      <x:c r="A18" s="76"/>
      <x:c r="B18" s="76"/>
      <x:c r="C18" s="76"/>
      <x:c r="D18" s="76"/>
      <x:c r="E18" s="76"/>
    </x:row>
    <x:row r="19" ht="24" customHeight="1">
      <x:c r="A19" s="76" t="str">
        <x:v>Exemples</x:v>
      </x:c>
      <x:c r="B19" s="76"/>
      <x:c r="C19" s="76"/>
      <x:c r="D19" s="76" t="str">
        <x:v>Attention, les prix à payer pourront être différents : application de pourcentage plus ou moins random</x:v>
      </x:c>
      <x:c r="E19" s="76"/>
    </x:row>
    <x:row r="20" ht="24" customHeight="1">
      <x:c r="A20" s="76" t="str">
        <x:v>Passer d'une arme à une arme +1</x:v>
      </x:c>
      <x:c r="B20" s="76" t="n">
        <x:v>1000</x:v>
      </x:c>
      <x:c r="C20" s="76"/>
      <x:c r="D20" s="76" t="str">
        <x:v>Explication du côté "aléatoire" des prix : cela provient des ingrédients utilisés, du nombre d'essai afin de trouver la bonne recette,</x:v>
      </x:c>
      <x:c r="E20" s="76"/>
    </x:row>
    <x:row r="21" ht="24" customHeight="1">
      <x:c r="A21" s="76" t="str">
        <x:v>Ajouter un effet à une arme +1</x:v>
      </x:c>
      <x:c r="B21" s="76" t="n">
        <x:v>3000</x:v>
      </x:c>
      <x:c r="C21" s="76" t="str">
        <x:v>Explication : 4000 - 1000</x:v>
      </x:c>
      <x:c r="D21" s="76"/>
      <x:c r="E21" s="76"/>
    </x:row>
    <x:row r="22" ht="24" customHeight="1">
      <x:c r="A22" s="76" t="str">
        <x:v>Passer de +1 à +2</x:v>
      </x:c>
      <x:c r="B22" s="76" t="n">
        <x:v>8000</x:v>
      </x:c>
      <x:c r="C22" s="76"/>
      <x:c r="D22" s="76"/>
      <x:c r="E22" s="76"/>
    </x:row>
    <x:row r="23" ht="24" customHeight="1">
      <x:c r="A23" s="76" t="str">
        <x:v>Passer de +1 de feu à +2 de feu</x:v>
      </x:c>
      <x:c r="B23" s="76" t="n">
        <x:v>12000</x:v>
      </x:c>
      <x:c r="C23" s="76"/>
      <x:c r="D23" s="76"/>
      <x:c r="E23" s="76"/>
    </x:row>
    <x:row r="24" ht="24" customHeight="1">
      <x:c r="A24" s="76" t="str">
        <x:v>Créer une arme +2 sournois frugale</x:v>
      </x:c>
      <x:c r="B24" s="76" t="n">
        <x:v>25000</x:v>
      </x:c>
      <x:c r="C24" s="76"/>
      <x:c r="D24" s="76"/>
      <x:c r="E24" s="76"/>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nom</x:v>
      </x:c>
      <x:c r="B1" s="41" t="str">
        <x:v>lien?</x:v>
      </x:c>
      <x:c r="C1" s="41" t="str">
        <x:v>Valeur</x:v>
      </x:c>
      <x:c r="D1" s="41" t="str">
        <x:v>source</x:v>
      </x:c>
      <x:c r="E1" s="41" t="str">
        <x:v>retenu?</x:v>
      </x:c>
      <x:c r="F1" s="41" t="str">
        <x:v>Prix</x:v>
      </x:c>
      <x:c r="G1" s="41"/>
      <x:c r="H1" s="41"/>
      <x:c r="I1" s="41"/>
      <x:c r="J1" s="41"/>
      <x:c r="K1" s="41"/>
      <x:c r="L1" s="41"/>
      <x:c r="M1" s="41"/>
      <x:c r="N1" s="41"/>
    </x:row>
    <x:row r="2" ht="24" customHeight="1">
      <x:c r="A2" s="76" t="str">
        <x:v>bourse de l'opossum</x:v>
      </x:c>
      <x:c r="B2" s="76" t="str">
        <x:v>non?</x:v>
      </x:c>
      <x:c r="C2" s="76"/>
      <x:c r="D2" s="76" t="str">
        <x:v>gemmaline</x:v>
      </x:c>
      <x:c r="E2" s="76" t="str">
        <x:v>oui</x:v>
      </x:c>
      <x:c r="F2" s="76"/>
      <x:c r="G2" s="76"/>
      <x:c r="H2" s="76"/>
      <x:c r="I2" s="76"/>
      <x:c r="J2" s="76"/>
      <x:c r="K2" s="76"/>
      <x:c r="L2" s="76"/>
      <x:c r="M2" s="76"/>
      <x:c r="N2" s="76"/>
    </x:row>
    <x:row r="3" ht="24" customHeight="1">
      <x:c r="A3" s="76" t="str">
        <x:v>cape de l'assassin  </x:v>
      </x:c>
      <x:c r="B3" s="76" t="str">
        <x:v>oui?</x:v>
      </x:c>
      <x:c r="C3" s="76"/>
      <x:c r="D3" s="76" t="str">
        <x:v>gemmaline</x:v>
      </x:c>
      <x:c r="E3" s="76"/>
      <x:c r="F3" s="76"/>
      <x:c r="G3" s="76"/>
      <x:c r="H3" s="76"/>
      <x:c r="I3" s="76"/>
      <x:c r="J3" s="76"/>
      <x:c r="K3" s="76"/>
      <x:c r="L3" s="76"/>
      <x:c r="M3" s="76"/>
      <x:c r="N3" s="76"/>
    </x:row>
    <x:row r="4" ht="24" customHeight="1">
      <x:c r="A4" s="76" t="str">
        <x:v>gant de cambrioleur</x:v>
      </x:c>
      <x:c r="B4" s="76" t="str">
        <x:v>non</x:v>
      </x:c>
      <x:c r="C4" s="76"/>
      <x:c r="D4" s="76" t="str">
        <x:v>aidedd</x:v>
      </x:c>
      <x:c r="E4" s="76" t="str">
        <x:v>oui</x:v>
      </x:c>
      <x:c r="F4" s="76"/>
      <x:c r="G4" s="76"/>
      <x:c r="H4" s="76"/>
      <x:c r="I4" s="76"/>
      <x:c r="J4" s="76"/>
      <x:c r="K4" s="76"/>
      <x:c r="L4" s="76"/>
      <x:c r="M4" s="76"/>
      <x:c r="N4" s="76"/>
    </x:row>
    <x:row r="5" ht="24" customHeight="1">
      <x:c r="A5" s="76" t="str">
        <x:v>clef squelette</x:v>
      </x:c>
      <x:c r="B5" s="76" t="str">
        <x:v>non?</x:v>
      </x:c>
      <x:c r="C5" s="76"/>
      <x:c r="D5" s="76" t="str">
        <x:v>gemmaline</x:v>
      </x:c>
      <x:c r="E5" s="76" t="str">
        <x:v>nope</x:v>
      </x:c>
      <x:c r="F5" s="76"/>
      <x:c r="G5" s="76"/>
      <x:c r="H5" s="76"/>
      <x:c r="I5" s="76"/>
      <x:c r="J5" s="76"/>
      <x:c r="K5" s="76"/>
      <x:c r="L5" s="76"/>
      <x:c r="M5" s="76"/>
      <x:c r="N5" s="76"/>
    </x:row>
    <x:row r="6" ht="24" customHeight="1">
      <x:c r="A6" s="76" t="str">
        <x:v>gant de dextérité</x:v>
      </x:c>
      <x:c r="B6" s="76" t="str">
        <x:v>oui?</x:v>
      </x:c>
      <x:c r="C6" s="76"/>
      <x:c r="D6" s="76" t="str">
        <x:v>gemmaline</x:v>
      </x:c>
      <x:c r="E6" s="76" t="str">
        <x:v>non</x:v>
      </x:c>
      <x:c r="F6" s="76"/>
      <x:c r="G6" s="76"/>
      <x:c r="H6" s="76"/>
      <x:c r="I6" s="76"/>
      <x:c r="J6" s="76"/>
      <x:c r="K6" s="76"/>
      <x:c r="L6" s="76"/>
      <x:c r="M6" s="76"/>
      <x:c r="N6" s="76"/>
    </x:row>
    <x:row r="7" ht="24" customHeight="1">
      <x:c r="A7" s="76" t="str">
        <x:v>armure de cuir cloutée +1 d'esquive</x:v>
      </x:c>
      <x:c r="B7" s="76" t="str">
        <x:v>oui?</x:v>
      </x:c>
      <x:c r="C7" s="76"/>
      <x:c r="D7" s="76" t="str">
        <x:v>gemmaline</x:v>
      </x:c>
      <x:c r="E7" s="76" t="str">
        <x:v>non</x:v>
      </x:c>
      <x:c r="F7" s="76"/>
      <x:c r="G7" s="76"/>
      <x:c r="H7" s="76"/>
      <x:c r="I7" s="76"/>
      <x:c r="J7" s="76"/>
      <x:c r="K7" s="76"/>
      <x:c r="L7" s="76"/>
      <x:c r="M7" s="76"/>
      <x:c r="N7" s="76"/>
    </x:row>
    <x:row r="8" ht="24" customHeight="1">
      <x:c r="A8" s="76" t="str">
        <x:v>Amulette Antidote</x:v>
      </x:c>
      <x:c r="B8" s="76" t="str">
        <x:v>non</x:v>
      </x:c>
      <x:c r="C8" s="76"/>
      <x:c r="D8" s="76" t="str">
        <x:v>aidedd</x:v>
      </x:c>
      <x:c r="E8" s="76"/>
      <x:c r="F8" s="76"/>
      <x:c r="G8" s="76"/>
      <x:c r="H8" s="76"/>
      <x:c r="I8" s="76"/>
      <x:c r="J8" s="76"/>
      <x:c r="K8" s="76"/>
      <x:c r="L8" s="76"/>
      <x:c r="M8" s="76"/>
      <x:c r="N8" s="76"/>
    </x:row>
    <x:row r="9" ht="24" customHeight="1">
      <x:c r="A9" s="76" t="str">
        <x:v>bracelet du meurtrier</x:v>
      </x:c>
      <x:c r="B9" s="76" t="str">
        <x:v>oui?</x:v>
      </x:c>
      <x:c r="C9" s="76"/>
      <x:c r="D9" s="76" t="str">
        <x:v>gemmaline</x:v>
      </x:c>
      <x:c r="E9" s="76"/>
      <x:c r="F9" s="76"/>
      <x:c r="G9" s="76"/>
      <x:c r="H9" s="76"/>
      <x:c r="I9" s="76"/>
      <x:c r="J9" s="76"/>
      <x:c r="K9" s="76"/>
      <x:c r="L9" s="76"/>
      <x:c r="M9" s="76"/>
      <x:c r="N9" s="76"/>
    </x:row>
    <x:row r="10" ht="24" customHeight="1">
      <x:c r="A10" s="76" t="str">
        <x:v>Arc sournois frugal +2</x:v>
      </x:c>
      <x:c r="B10" s="76" t="str">
        <x:v>oui?</x:v>
      </x:c>
      <x:c r="C10" s="76"/>
      <x:c r="D10" s="76" t="str">
        <x:v>gemmaline</x:v>
      </x:c>
      <x:c r="E10" s="76" t="str">
        <x:v>oui</x:v>
      </x:c>
      <x:c r="F10" s="76"/>
      <x:c r="G10" s="76"/>
      <x:c r="H10" s="76"/>
      <x:c r="I10" s="76"/>
      <x:c r="J10" s="76"/>
      <x:c r="K10" s="76"/>
      <x:c r="L10" s="76"/>
      <x:c r="M10" s="76"/>
      <x:c r="N10" s="76"/>
    </x:row>
    <x:row r="11" ht="24" customHeight="1">
      <x:c r="A11" s="76" t="str">
        <x:v>10 flèches d'argent +1 incassable</x:v>
      </x:c>
      <x:c r="B11" s="76" t="str">
        <x:v>non</x:v>
      </x:c>
      <x:c r="C11" s="76"/>
      <x:c r="D11" s="76" t="str">
        <x:v>custom</x:v>
      </x:c>
      <x:c r="E11" s="76" t="str">
        <x:v>non</x:v>
      </x:c>
      <x:c r="F11" s="76"/>
      <x:c r="G11" s="76"/>
      <x:c r="H11" s="76"/>
      <x:c r="I11" s="76"/>
      <x:c r="J11" s="76"/>
      <x:c r="K11" s="76"/>
      <x:c r="L11" s="76"/>
      <x:c r="M11" s="76"/>
      <x:c r="N11" s="76"/>
    </x:row>
    <x:row r="12" ht="24" customHeight="1">
      <x:c r="A12" s="76" t="str">
        <x:v>Carquois d'Elhonna</x:v>
      </x:c>
      <x:c r="B12" s="76" t="str">
        <x:v>non</x:v>
      </x:c>
      <x:c r="C12" s="76"/>
      <x:c r="D12" s="76" t="str">
        <x:v>aidedd</x:v>
      </x:c>
      <x:c r="E12" s="76" t="str">
        <x:v>oui</x:v>
      </x:c>
      <x:c r="F12" s="76"/>
      <x:c r="G12" s="76"/>
      <x:c r="H12" s="76"/>
      <x:c r="I12" s="76"/>
      <x:c r="J12" s="76"/>
      <x:c r="K12" s="76"/>
      <x:c r="L12" s="76"/>
      <x:c r="M12" s="76"/>
      <x:c r="N12" s="76"/>
    </x:row>
    <x:row r="13" ht="24" customHeight="1">
      <x:c r="A13" s="76" t="str">
        <x:v>Colle universelle</x:v>
      </x:c>
      <x:c r="B13" s="76" t="str">
        <x:v>non</x:v>
      </x:c>
      <x:c r="C13" s="76"/>
      <x:c r="D13" s="76"/>
      <x:c r="E13" s="76"/>
      <x:c r="F13" s="76"/>
      <x:c r="G13" s="76"/>
      <x:c r="H13" s="76"/>
      <x:c r="I13" s="76"/>
      <x:c r="J13" s="76"/>
      <x:c r="K13" s="76"/>
      <x:c r="L13" s="76"/>
      <x:c r="M13" s="76"/>
      <x:c r="N13" s="76"/>
    </x:row>
    <x:row r="14" ht="24" customHeight="1">
      <x:c r="A14" s="76" t="str">
        <x:v>menottes dimensionneles</x:v>
      </x:c>
      <x:c r="B14" s="76" t="str">
        <x:v>non</x:v>
      </x:c>
      <x:c r="C14" s="76"/>
      <x:c r="D14" s="76" t="str">
        <x:v>aidedd</x:v>
      </x:c>
      <x:c r="E14" s="76"/>
      <x:c r="F14" s="76"/>
      <x:c r="G14" s="76"/>
      <x:c r="H14" s="76"/>
      <x:c r="I14" s="76"/>
      <x:c r="J14" s="76"/>
      <x:c r="K14" s="76"/>
      <x:c r="L14" s="76"/>
      <x:c r="M14" s="76"/>
      <x:c r="N14" s="76"/>
    </x:row>
    <x:row r="15" ht="24" customHeight="1">
      <x:c r="A15" s="76" t="str">
        <x:v>breast plate +2 de souffle glamour </x:v>
      </x:c>
      <x:c r="B15" s="76" t="str">
        <x:v>non</x:v>
      </x:c>
      <x:c r="C15" s="76"/>
      <x:c r="D15" s="76"/>
      <x:c r="E15" s="76" t="str">
        <x:v>oui</x:v>
      </x:c>
      <x:c r="F15" s="76"/>
      <x:c r="G15" s="76"/>
      <x:c r="H15" s="76"/>
      <x:c r="I15" s="76"/>
      <x:c r="J15" s="76"/>
      <x:c r="K15" s="76"/>
      <x:c r="L15" s="76"/>
      <x:c r="M15" s="76"/>
      <x:c r="N15" s="76"/>
    </x:row>
    <x:row r="16" ht="24" customHeight="1">
      <x:c r="A16" s="76" t="str">
        <x:v>anneau +1</x:v>
      </x:c>
      <x:c r="B16" s="76" t="str">
        <x:v>oui?</x:v>
      </x:c>
      <x:c r="C16" s="76"/>
      <x:c r="D16" s="76"/>
      <x:c r="E16" s="76" t="str">
        <x:v>oui</x:v>
      </x:c>
      <x:c r="F16" s="76"/>
      <x:c r="G16" s="76"/>
      <x:c r="H16" s="76"/>
      <x:c r="I16" s="76"/>
      <x:c r="J16" s="76"/>
      <x:c r="K16" s="76"/>
      <x:c r="L16" s="76"/>
      <x:c r="M16" s="76"/>
      <x:c r="N16" s="76"/>
    </x:row>
    <x:row r="17" ht="24" customHeight="1">
      <x:c r="A17" s="76" t="str">
        <x:v>poudre de disparition *5</x:v>
      </x:c>
      <x:c r="B17" s="76" t="str">
        <x:v>non</x:v>
      </x:c>
      <x:c r="C17" s="76"/>
      <x:c r="D17" s="76"/>
      <x:c r="E17" s="76" t="str">
        <x:v>oui</x:v>
      </x:c>
      <x:c r="F17" s="76"/>
      <x:c r="G17" s="76"/>
      <x:c r="H17" s="76"/>
      <x:c r="I17" s="76"/>
      <x:c r="J17" s="76"/>
      <x:c r="K17" s="76"/>
      <x:c r="L17" s="76"/>
      <x:c r="M17" s="76"/>
      <x:c r="N17" s="76"/>
    </x:row>
    <x:row r="18" ht="24" customHeight="1">
      <x:c r="A18" s="76" t="str">
        <x:v>amulette antidote</x:v>
      </x:c>
      <x:c r="B18" s="76" t="str">
        <x:v>non</x:v>
      </x:c>
      <x:c r="C18" s="76"/>
      <x:c r="D18" s="76"/>
      <x:c r="E18" s="76" t="str">
        <x:v>oui</x:v>
      </x:c>
      <x:c r="F18" s="76"/>
      <x:c r="G18" s="76"/>
      <x:c r="H18" s="76"/>
      <x:c r="I18" s="76"/>
      <x:c r="J18" s="76"/>
      <x:c r="K18" s="76"/>
      <x:c r="L18" s="76"/>
      <x:c r="M18" s="76"/>
      <x:c r="N18" s="76"/>
    </x:row>
    <x:row r="19" ht="24" customHeight="1">
      <x:c r="A19" s="76" t="str">
        <x:v>cube de force</x:v>
      </x:c>
      <x:c r="B19" s="76" t="str">
        <x:v>oui</x:v>
      </x:c>
      <x:c r="C19" s="76"/>
      <x:c r="D19" s="76"/>
      <x:c r="E19" s="76" t="str">
        <x:v>oui</x:v>
      </x:c>
      <x:c r="F19" s="76"/>
      <x:c r="G19" s="76"/>
      <x:c r="H19" s="76"/>
      <x:c r="I19" s="76"/>
      <x:c r="J19" s="76"/>
      <x:c r="K19" s="76"/>
      <x:c r="L19" s="76"/>
      <x:c r="M19" s="76"/>
      <x:c r="N19" s="76"/>
    </x:row>
    <x:row r="20" ht="24" customHeight="1">
      <x:c r="A20" s="76" t="str">
        <x:v> bottes elfiques</x:v>
      </x:c>
      <x:c r="B20" s="76" t="str">
        <x:v>non</x:v>
      </x:c>
      <x:c r="C20" s="76"/>
      <x:c r="D20" s="76"/>
      <x:c r="E20" s="76" t="str">
        <x:v>oui</x:v>
      </x:c>
      <x:c r="F20" s="76"/>
      <x:c r="G20" s="76"/>
      <x:c r="H20" s="76"/>
      <x:c r="I20" s="76" t="str">
        <x:v>sous Total</x:v>
      </x:c>
      <x:c r="J20" s="76" t="n">
        <x:v>0</x:v>
      </x:c>
      <x:c r="K20" s="76"/>
      <x:c r="L20" s="76"/>
      <x:c r="M20" s="76"/>
      <x:c r="N20" s="76"/>
    </x:row>
    <x:row r="21" ht="24" customHeight="1">
      <x:c r="A21" s="76" t="str">
        <x:v>bouteille fumigene</x:v>
      </x:c>
      <x:c r="B21" s="76" t="str">
        <x:v>non</x:v>
      </x:c>
      <x:c r="C21" s="76"/>
      <x:c r="D21" s="76"/>
      <x:c r="E21" s="76" t="str">
        <x:v>oui</x:v>
      </x:c>
      <x:c r="F21" s="76"/>
      <x:c r="G21" s="76"/>
      <x:c r="H21" s="76" t="str">
        <x:v>Ventes</x:v>
      </x:c>
      <x:c r="I21" s="76"/>
      <x:c r="J21" s="76"/>
      <x:c r="K21" s="76"/>
      <x:c r="L21" s="76"/>
      <x:c r="M21" s="76"/>
      <x:c r="N21" s="76"/>
    </x:row>
    <x:row r="22" ht="24" customHeight="1">
      <x:c r="A22" s="76" t="str">
        <x:v>flèche incassable x20</x:v>
      </x:c>
      <x:c r="B22" s="76" t="str">
        <x:v>non</x:v>
      </x:c>
      <x:c r="C22" s="76"/>
      <x:c r="D22" s="76"/>
      <x:c r="E22" s="76" t="str">
        <x:v>oui</x:v>
      </x:c>
      <x:c r="F22" s="76"/>
      <x:c r="G22" s="76"/>
      <x:c r="H22" s="76"/>
      <x:c r="I22" s="76"/>
      <x:c r="J22" s="76"/>
      <x:c r="K22" s="76"/>
      <x:c r="L22" s="76"/>
      <x:c r="M22" s="76"/>
      <x:c r="N22" s="76"/>
    </x:row>
    <x:row r="23" ht="24" customHeight="1">
      <x:c r="A23" s="76" t="str">
        <x:v>flèche percutantes x10</x:v>
      </x:c>
      <x:c r="B23" s="76" t="str">
        <x:v>non</x:v>
      </x:c>
      <x:c r="C23" s="76"/>
      <x:c r="D23" s="76"/>
      <x:c r="E23" s="76"/>
      <x:c r="F23" s="76"/>
      <x:c r="G23" s="76"/>
      <x:c r="H23" s="76"/>
      <x:c r="I23" s="76"/>
      <x:c r="J23" s="76"/>
      <x:c r="K23" s="76"/>
      <x:c r="L23" s="76"/>
      <x:c r="M23" s="76"/>
      <x:c r="N23" s="76"/>
    </x:row>
    <x:row r="24" ht="24" customHeight="1">
      <x:c r="A24" s="76"/>
      <x:c r="B24" s="76"/>
      <x:c r="C24" s="76"/>
      <x:c r="D24" s="76"/>
      <x:c r="E24" s="76"/>
      <x:c r="F24" s="76"/>
      <x:c r="G24" s="76"/>
      <x:c r="H24" s="76"/>
      <x:c r="I24" s="76"/>
      <x:c r="J24" s="76"/>
      <x:c r="K24" s="76"/>
      <x:c r="L24" s="76"/>
      <x:c r="M24" s="76"/>
      <x:c r="N24" s="76"/>
    </x:row>
    <x:row r="25" ht="24" customHeight="1">
      <x:c r="A25" s="76"/>
      <x:c r="B25" s="76"/>
      <x:c r="C25" s="76"/>
      <x:c r="D25" s="76"/>
      <x:c r="E25" s="76"/>
      <x:c r="F25" s="76"/>
      <x:c r="G25" s="76"/>
      <x:c r="H25" s="76"/>
      <x:c r="I25" s="76"/>
      <x:c r="J25" s="76"/>
      <x:c r="K25" s="76"/>
      <x:c r="L25" s="76"/>
      <x:c r="M25" s="76"/>
      <x:c r="N25" s="76"/>
    </x:row>
    <x:row r="26" ht="24" customHeight="1">
      <x:c r="A26" s="76"/>
      <x:c r="B26" s="76"/>
      <x:c r="C26" s="76"/>
      <x:c r="D26" s="76"/>
      <x:c r="E26" s="76"/>
      <x:c r="F26" s="76"/>
      <x:c r="G26" s="76"/>
      <x:c r="H26" s="76"/>
      <x:c r="I26" s="76"/>
      <x:c r="J26" s="76"/>
      <x:c r="K26" s="76"/>
      <x:c r="L26" s="76"/>
      <x:c r="M26" s="76"/>
      <x:c r="N26" s="76"/>
    </x:row>
    <x:row r="27" ht="24" customHeight="1">
      <x:c r="A27" s="76"/>
      <x:c r="B27" s="76"/>
      <x:c r="C27" s="76"/>
      <x:c r="D27" s="76"/>
      <x:c r="E27" s="76"/>
      <x:c r="F27" s="76"/>
      <x:c r="G27" s="76"/>
      <x:c r="H27" s="76"/>
      <x:c r="I27" s="76"/>
      <x:c r="J27" s="76"/>
      <x:c r="K27" s="76"/>
      <x:c r="L27" s="76"/>
      <x:c r="M27" s="76"/>
      <x:c r="N27" s="76"/>
    </x:row>
    <x:row r="28" ht="24" customHeight="1">
      <x:c r="A28" s="76"/>
      <x:c r="B28" s="76"/>
      <x:c r="C28" s="76"/>
      <x:c r="D28" s="76"/>
      <x:c r="E28" s="76"/>
      <x:c r="F28" s="76"/>
      <x:c r="G28" s="76"/>
      <x:c r="H28" s="76"/>
      <x:c r="I28" s="76"/>
      <x:c r="J28" s="76"/>
      <x:c r="K28" s="76"/>
      <x:c r="L28" s="76"/>
      <x:c r="M28" s="76"/>
      <x:c r="N28" s="76"/>
    </x:row>
    <x:row r="29" ht="24" customHeight="1">
      <x:c r="A29" s="76"/>
      <x:c r="B29" s="76"/>
      <x:c r="C29" s="76"/>
      <x:c r="D29" s="76"/>
      <x:c r="E29" s="76"/>
      <x:c r="F29" s="76"/>
      <x:c r="G29" s="76"/>
      <x:c r="H29" s="76"/>
      <x:c r="I29" s="76"/>
      <x:c r="J29" s="76"/>
      <x:c r="K29" s="76"/>
      <x:c r="L29" s="76"/>
      <x:c r="M29" s="76"/>
      <x:c r="N29" s="76"/>
    </x:row>
    <x:row r="30" ht="24" customHeight="1">
      <x:c r="A30" s="76"/>
      <x:c r="B30" s="76"/>
      <x:c r="C30" s="76"/>
      <x:c r="D30" s="76"/>
      <x:c r="E30" s="76"/>
      <x:c r="F30" s="76"/>
      <x:c r="G30" s="76"/>
      <x:c r="H30" s="76"/>
      <x:c r="I30" s="76"/>
      <x:c r="J30" s="76"/>
      <x:c r="K30" s="76"/>
      <x:c r="L30" s="76"/>
      <x:c r="M30" s="76"/>
      <x:c r="N30" s="76"/>
    </x:row>
    <x:row r="31" ht="24" customHeight="1">
      <x:c r="A31" s="76"/>
      <x:c r="B31" s="76"/>
      <x:c r="C31" s="76"/>
      <x:c r="D31" s="76"/>
      <x:c r="E31" s="76"/>
      <x:c r="F31" s="76"/>
      <x:c r="G31" s="76"/>
      <x:c r="H31" s="76"/>
      <x:c r="I31" s="76"/>
      <x:c r="J31" s="76"/>
      <x:c r="K31" s="76"/>
      <x:c r="L31" s="76"/>
      <x:c r="M31" s="76"/>
      <x:c r="N31" s="76"/>
    </x:row>
    <x:row r="32" ht="24" customHeight="1">
      <x:c r="A32" s="76"/>
      <x:c r="B32" s="76"/>
      <x:c r="C32" s="76"/>
      <x:c r="D32" s="76"/>
      <x:c r="E32" s="76"/>
      <x:c r="F32" s="76"/>
      <x:c r="G32" s="76"/>
      <x:c r="H32" s="76"/>
      <x:c r="I32" s="76"/>
      <x:c r="J32" s="76"/>
      <x:c r="K32" s="76"/>
      <x:c r="L32" s="76"/>
      <x:c r="M32" s="76"/>
      <x:c r="N32" s="76"/>
    </x:row>
    <x:row r="33" ht="24" customHeight="1">
      <x:c r="A33" s="76"/>
      <x:c r="B33" s="76"/>
      <x:c r="C33" s="76"/>
      <x:c r="D33" s="76"/>
      <x:c r="E33" s="76"/>
      <x:c r="F33" s="76"/>
      <x:c r="G33" s="76"/>
      <x:c r="H33" s="76"/>
      <x:c r="I33" s="76" t="str">
        <x:v>total</x:v>
      </x:c>
      <x:c r="J33" s="76" t="n">
        <x:v>0</x:v>
      </x:c>
      <x:c r="K33" s="76"/>
      <x:c r="L33" s="76" t="str">
        <x:v>reste</x:v>
      </x:c>
      <x:c r="M33" s="76" t="n">
        <x:v>38533</x:v>
      </x:c>
      <x:c r="N33" s="76" t="str">
        <x:v>po</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24" customHeight="1">
      <x:c r="A1" s="41" t="str">
        <x:v>POUR MOI - MJ PEUT IGNORER</x:v>
      </x:c>
      <x:c r="B1" s="41"/>
      <x:c r="C1" s="41"/>
      <x:c r="D1" s="41" t="str">
        <x:v>Prix</x:v>
      </x:c>
      <x:c r="E1" s="41"/>
      <x:c r="F1" s="41"/>
      <x:c r="G1" s="41"/>
      <x:c r="H1" s="41"/>
      <x:c r="I1" s="41"/>
    </x:row>
    <x:row r="2" ht="24" customHeight="1">
      <x:c r="A2" s="76" t="str">
        <x:v>Sceptre de garant du pacte</x:v>
      </x:c>
      <x:c r="B2" s="76" t="str">
        <x:v>- très rare (bonus +3)</x:v>
      </x:c>
      <x:c r="C2" s="76"/>
      <x:c r="D2" s="76"/>
      <x:c r="E2" s="76"/>
      <x:c r="F2" s="76" t="str">
        <x:v>BUILD NOW</x:v>
      </x:c>
      <x:c r="G2" s="76" t="str">
        <x:v>BUILD robe archmagi+amulette sphère</x:v>
      </x:c>
      <x:c r="H2" s="76" t="str">
        <x:v>BUILD robe archmagi+amulette sphère+staff of power</x:v>
      </x:c>
      <x:c r="I2" s="76" t="str">
        <x:v>BUILD robe archmagi+amulette sphère+rod pact keeper</x:v>
      </x:c>
    </x:row>
    <x:row r="3" ht="24" customHeight="1">
      <x:c r="A3" s="76"/>
      <x:c r="B3" s="76" t="str">
        <x:v>- permet de récupérer arcanum mystique ?</x:v>
      </x:c>
      <x:c r="C3" s="76"/>
      <x:c r="D3" s="76"/>
      <x:c r="E3" s="76"/>
      <x:c r="F3" s="76" t="str">
        <x:v>+2 CA (17)</x:v>
      </x:c>
      <x:c r="G3" s="76" t="str">
        <x:v>16 CA, no armor</x:v>
      </x:c>
      <x:c r="H3" s="76" t="str">
        <x:v>18 CA, , no armor</x:v>
      </x:c>
      <x:c r="I3" s="76" t="str">
        <x:v>16 CA, no armor</x:v>
      </x:c>
    </x:row>
    <x:row r="4" ht="24" customHeight="1">
      <x:c r="A4" s="76"/>
      <x:c r="B4" s="76"/>
      <x:c r="C4" s="76"/>
      <x:c r="D4" s="76"/>
      <x:c r="E4" s="76"/>
      <x:c r="F4" s="76" t="str">
        <x:v>+2 jets d'attaques</x:v>
      </x:c>
      <x:c r="G4" s="76" t="str">
        <x:v>+2 jets d'attaques</x:v>
      </x:c>
      <x:c r="H4" s="76" t="str">
        <x:v>+ 4 jets d'attaque</x:v>
      </x:c>
      <x:c r="I4" s="76" t="str">
        <x:v>+ 4 jets d'attaque sorcier (2 sinon)</x:v>
      </x:c>
    </x:row>
    <x:row r="5" ht="24" customHeight="1">
      <x:c r="A5" s="76" t="str">
        <x:v>Sphère d'annihilation: Milo propose de pouvoir la rentrer dans le talisman, mais distance max talisman et sphere</x:v>
      </x:c>
      <x:c r="B5" s="76"/>
      <x:c r="C5" s="76"/>
      <x:c r="D5" s="76" t="n">
        <x:v>0</x:v>
      </x:c>
      <x:c r="E5" s="76"/>
      <x:c r="F5" s="76" t="str">
        <x:v>+2 DD sauvegarde</x:v>
      </x:c>
      <x:c r="G5" s="76" t="str">
        <x:v>+2 DD sauvegarde</x:v>
      </x:c>
      <x:c r="H5" s="76" t="str">
        <x:v>+ 2 DD de sauvegarde</x:v>
      </x:c>
      <x:c r="I5" s="76" t="str">
        <x:v>+ 4 DD de sauvegarde sorcier (2 sinon)</x:v>
      </x:c>
    </x:row>
    <x:row r="6" ht="24" customHeight="1">
      <x:c r="A6" s="76"/>
      <x:c r="B6" s="76"/>
      <x:c r="C6" s="76"/>
      <x:c r="D6" s="76"/>
      <x:c r="E6" s="76"/>
      <x:c r="F6" s="76" t="str">
        <x:v>1 repos court warlock</x:v>
      </x:c>
      <x:c r="G6" s="76"/>
      <x:c r="H6" s="76"/>
      <x:c r="I6" s="76" t="str">
        <x:v>1 repos court warlock</x:v>
      </x:c>
    </x:row>
    <x:row r="7" ht="24" customHeight="1">
      <x:c r="A7" s="76" t="str">
        <x:v>Vendre anneau de stockage de sort, peut-être en mettant des sorts dedans ? (personnel, pas pot commun)</x:v>
      </x:c>
      <x:c r="B7" s="76"/>
      <x:c r="C7" s="76"/>
      <x:c r="D7" s="76"/>
      <x:c r="E7" s="76"/>
      <x:c r="F7" s="76"/>
      <x:c r="G7" s="76" t="str">
        <x:v>avantage jds sorts et effets magiques</x:v>
      </x:c>
      <x:c r="H7" s="76" t="str">
        <x:v>avantage jds sorts et effets magiques</x:v>
      </x:c>
      <x:c r="I7" s="76" t="str">
        <x:v>avantage jds sorts et effets magiques</x:v>
      </x:c>
    </x:row>
    <x:row r="8" ht="24" customHeight="1">
      <x:c r="A8" s="76" t="str">
        <x:v>puis-je changer un sort pour immobilisation de monstre si je ne garde pas le staff of power ?</x:v>
      </x:c>
      <x:c r="B8" s="76"/>
      <x:c r="C8" s="76"/>
      <x:c r="D8" s="76"/>
      <x:c r="E8" s="76"/>
      <x:c r="F8" s="76" t="str">
        <x:v>+ 2 jds</x:v>
      </x:c>
      <x:c r="G8" s="76"/>
      <x:c r="H8" s="76" t="str">
        <x:v>+ 2 jds</x:v>
      </x:c>
      <x:c r="I8" s="76"/>
    </x:row>
    <x:row r="9" ht="24" customHeight="1">
      <x:c r="A9" s="76"/>
      <x:c r="B9" s="76"/>
      <x:c r="C9" s="76"/>
      <x:c r="D9" s="76"/>
      <x:c r="E9" s="76"/>
      <x:c r="F9" s="76" t="str">
        <x:v>sorts du bâton de puissance</x:v>
      </x:c>
      <x:c r="G9" s="76"/>
      <x:c r="H9" s="76" t="str">
        <x:v>sorts du bâton de puissance</x:v>
      </x:c>
      <x:c r="I9" s="76"/>
    </x:row>
    <x:row r="10" ht="24" customHeight="1">
      <x:c r="A10" s="76" t="str">
        <x:v>A chercher possiblement</x:v>
      </x:c>
      <x:c r="B10" s="76"/>
      <x:c r="C10" s="76"/>
      <x:c r="D10" s="76"/>
      <x:c r="E10" s="76"/>
      <x:c r="F10" s="76" t="str">
        <x:v>sorts stockés dans anneau</x:v>
      </x:c>
      <x:c r="G10" s="76"/>
      <x:c r="H10" s="76"/>
      <x:c r="I10" s="76"/>
    </x:row>
    <x:row r="11" ht="24" customHeight="1">
      <x:c r="A11" s="76" t="str">
        <x:v>Amulette de santé (const 19), lien</x:v>
      </x:c>
      <x:c r="B11" s="76"/>
      <x:c r="C11" s="76"/>
      <x:c r="D11" s="76"/>
      <x:c r="E11" s="76"/>
      <x:c r="F11" s="76"/>
      <x:c r="G11" s="76" t="str">
        <x:v>controle sphere</x:v>
      </x:c>
      <x:c r="H11" s="76" t="str">
        <x:v>controle sphere</x:v>
      </x:c>
      <x:c r="I11" s="76" t="str">
        <x:v>controle sphere</x:v>
      </x:c>
    </x:row>
    <x:row r="12" ht="24" customHeight="1">
      <x:c r="A12" s="76" t="str">
        <x:v>bracelets de défense + 2 CA si pas armure ni bouclier (lien)</x:v>
      </x:c>
      <x:c r="B12" s="76"/>
      <x:c r="C12" s="76"/>
      <x:c r="D12" s="76"/>
      <x:c r="E12" s="76"/>
      <x:c r="F12" s="76"/>
      <x:c r="G12" s="76"/>
      <x:c r="H12" s="76" t="str">
        <x:v>1 repos court de warlock = ghostly gaze, protection entropique + 3 slots lvl 5</x:v>
      </x:c>
      <x:c r="I12" s="76"/>
    </x:row>
    <x:row r="13" ht="24" customHeight="1">
      <x:c r="A13" s="76" t="str">
        <x:v>Periapt of proof against poison</x:v>
      </x:c>
      <x:c r="B13" s="76" t="str">
        <x:v>https://www.dndbeyond.com/magic-items/periapt-of-proof-against-poison</x:v>
      </x:c>
      <x:c r="C13" s="76"/>
      <x:c r="D13" s="76"/>
      <x:c r="E13" s="76" t="str">
        <x:v>A vendre</x:v>
      </x:c>
      <x:c r="F13" s="76" t="str">
        <x:v>anneau de stockage de sorts</x:v>
      </x:c>
      <x:c r="G13" s="76"/>
      <x:c r="H13" s="76" t="str">
        <x:v>sorts baton = mur de force, hold monster</x:v>
      </x:c>
      <x:c r="I13" s="76"/>
    </x:row>
    <x:row r="14" ht="24" customHeight="1">
      <x:c r="A14" s="76" t="str">
        <x:v>Poudre de disparition x3</x:v>
      </x:c>
      <x:c r="B14" s="76" t="str">
        <x:v>ou potion d'invisibilité ? (non, très rare)</x:v>
      </x:c>
      <x:c r="C14" s="76"/>
      <x:c r="D14" s="76"/>
      <x:c r="E14" s="76"/>
      <x:c r="F14" s="76" t="str">
        <x:v>sceptre du warlock +2 +repos court</x:v>
      </x:c>
      <x:c r="G14" s="76"/>
      <x:c r="H14" s="76"/>
      <x:c r="I14" s="76"/>
    </x:row>
    <x:row r="15" ht="24" customHeight="1">
      <x:c r="A15" s="76" t="str">
        <x:v>ring of regeneration, very rare, lien</x:v>
      </x:c>
      <x:c r="B15" s="76"/>
      <x:c r="C15" s="76"/>
      <x:c r="D15" s="76"/>
      <x:c r="E15" s="76"/>
      <x:c r="F15" s="76" t="str">
        <x:v>armure de cuir clouté +2, changepeau, glamour</x:v>
      </x:c>
      <x:c r="G15" s="76"/>
      <x:c r="H15" s="76" t="str">
        <x:v>si les effets ne stackent pas: je garde le bâton de puissance</x:v>
      </x:c>
      <x:c r="I15" s="76"/>
    </x:row>
    <x:row r="16" ht="24" customHeight="1">
      <x:c r="A16" s="76" t="str">
        <x:v>https://www.dndbeyond.com/magic-items/potion-of-resistance</x:v>
      </x:c>
      <x:c r="B16" s="76" t="str">
        <x:v>Uncommon, potion of resistance</x:v>
      </x:c>
      <x:c r="C16" s="76"/>
      <x:c r="D16" s="76"/>
      <x:c r="E16" s="76" t="str">
        <x:v>Acheter</x:v>
      </x:c>
      <x:c r="F16" s="76" t="str">
        <x:v>Robe de l'archimage</x:v>
      </x:c>
      <x:c r="G16" s="76"/>
      <x:c r="H16" s="76"/>
      <x:c r="I16" s="76"/>
    </x:row>
    <x:row r="17" ht="24" customHeight="1">
      <x:c r="A17" s="76" t="str">
        <x:v>https://www.dndbeyond.com/magic-items/eyes-of-minute-seeing</x:v>
      </x:c>
      <x:c r="B17" s="76" t="str">
        <x:v>adv investigation</x:v>
      </x:c>
      <x:c r="C17" s="76"/>
      <x:c r="D17" s="76"/>
      <x:c r="E17" s="76"/>
      <x:c r="F17" s="76" t="str">
        <x:v>Periapt of proof against poison</x:v>
      </x:c>
      <x:c r="G17" s="76"/>
      <x:c r="H17" s="76"/>
      <x:c r="I17" s="76"/>
    </x:row>
    <x:row r="18" ht="24" customHeight="1">
      <x:c r="A18" s="76" t="str">
        <x:v>Weapon of warning (uncommon) on staff of power</x:v>
      </x:c>
      <x:c r="B18" s="76"/>
      <x:c r="C18" s="76"/>
      <x:c r="D18" s="76"/>
      <x:c r="E18" s="76"/>
      <x:c r="F18" s="76" t="str">
        <x:v>Poudre de disparition</x:v>
      </x:c>
      <x:c r="G18" s="76"/>
      <x:c r="H18" s="76"/>
      <x:c r="I18" s="76"/>
    </x:row>
    <x:row r="19" ht="24" customHeight="1">
      <x:c r="A19" s="76" t="str">
        <x:v>Clockwork Amulet, Common, 1/day take 10 on an attack roll</x:v>
      </x:c>
      <x:c r="B19" s="76"/>
      <x:c r="C19" s="76"/>
      <x:c r="D19" s="76"/>
      <x:c r="E19" s="76"/>
      <x:c r="F19" s="76" t="str">
        <x:v>sinon, amulette de santé (et je garde les 2 bâtons ?)</x:v>
      </x:c>
      <x:c r="G19" s="76"/>
      <x:c r="H19" s="76"/>
      <x:c r="I19" s="76"/>
    </x:row>
    <x:row r="20" ht="24" customHeight="1">
      <x:c r="A20" s="76" t="str">
        <x:v>Eversmoking bottle</x:v>
      </x:c>
      <x:c r="B20" s="76"/>
      <x:c r="C20" s="76"/>
      <x:c r="D20" s="76"/>
      <x:c r="E20" s="76"/>
      <x:c r="F20" s="76"/>
      <x:c r="G20" s="76"/>
      <x:c r="H20" s="76"/>
      <x:c r="I20" s="76"/>
    </x:row>
    <x:row r="21" ht="24" customHeight="1">
      <x:c r="A21" s="76" t="str">
        <x:v>Restorative Ointment, Uncommon, soigne + poisons+ maladies</x:v>
      </x:c>
      <x:c r="B21" s="76"/>
      <x:c r="C21" s="76"/>
      <x:c r="D21" s="76"/>
      <x:c r="E21" s="76"/>
      <x:c r="F21" s="76"/>
      <x:c r="G21" s="76"/>
      <x:c r="H21" s="76"/>
      <x:c r="I21" s="76"/>
    </x:row>
    <x:row r="22" ht="24" customHeight="1">
      <x:c r="A22" s="76"/>
      <x:c r="B22" s="76"/>
      <x:c r="C22" s="76"/>
      <x:c r="D22" s="76"/>
      <x:c r="E22" s="76"/>
      <x:c r="F22" s="76"/>
      <x:c r="G22" s="76"/>
      <x:c r="H22" s="76"/>
      <x:c r="I22" s="76"/>
    </x:row>
    <x:row r="23" ht="24" customHeight="1">
      <x:c r="A23" s="76"/>
      <x:c r="B23" s="76"/>
      <x:c r="C23" s="76"/>
      <x:c r="D23" s="76"/>
      <x:c r="E23" s="76"/>
      <x:c r="F23" s="76"/>
      <x:c r="G23" s="76"/>
      <x:c r="H23" s="76"/>
      <x:c r="I23" s="76"/>
    </x:row>
    <x:row r="24" ht="24" customHeight="1">
      <x:c r="A24" s="76"/>
      <x:c r="B24" s="76"/>
      <x:c r="C24" s="76"/>
      <x:c r="D24" s="76"/>
      <x:c r="E24" s="76"/>
      <x:c r="F24" s="76"/>
      <x:c r="G24" s="76"/>
      <x:c r="H24" s="76"/>
      <x:c r="I24" s="76"/>
    </x:row>
    <x:row r="25" ht="24" customHeight="1">
      <x:c r="A25" s="76"/>
      <x:c r="B25" s="76"/>
      <x:c r="C25" s="76"/>
      <x:c r="D25" s="76"/>
      <x:c r="E25" s="76"/>
      <x:c r="F25" s="76"/>
      <x:c r="G25" s="76"/>
      <x:c r="H25" s="76"/>
      <x:c r="I25" s="76"/>
    </x:row>
    <x:row r="26" ht="24" customHeight="1">
      <x:c r="A26" s="76" t="str">
        <x:v>LISTE ACTIONS + QUESTIONS POUR BAZIRE</x:v>
      </x:c>
      <x:c r="B26" s="76"/>
      <x:c r="C26" s="76"/>
      <x:c r="D26" s="76" t="str">
        <x:v>Prix</x:v>
      </x:c>
      <x:c r="E26" s="76"/>
      <x:c r="F26" s="76"/>
      <x:c r="G26" s="76"/>
      <x:c r="H26" s="76"/>
      <x:c r="I26" s="76"/>
    </x:row>
    <x:row r="27" ht="24" customHeight="1">
      <x:c r="A27" s="76" t="str">
        <x:v>Recopie Illusory script (niv 1)</x:v>
      </x:c>
      <x:c r="B27" s="76" t="str">
        <x:v>2h et 50po (a déjà encres précieuses)</x:v>
      </x:c>
      <x:c r="C27" s="76"/>
      <x:c r="D27" s="76" t="n">
        <x:v>0</x:v>
      </x:c>
      <x:c r="E27" s="76"/>
      <x:c r="F27" s="76"/>
      <x:c r="G27" s="76"/>
      <x:c r="H27" s="76"/>
      <x:c r="I27" s="76"/>
    </x:row>
    <x:row r="28" ht="24" customHeight="1">
      <x:c r="A28" s="76"/>
      <x:c r="B28" s="76"/>
      <x:c r="C28" s="76"/>
      <x:c r="D28" s="76"/>
      <x:c r="E28" s="76"/>
      <x:c r="F28" s="76"/>
      <x:c r="G28" s="76"/>
      <x:c r="H28" s="76"/>
      <x:c r="I28" s="76"/>
    </x:row>
    <x:row r="29" ht="24" customHeight="1">
      <x:c r="A29" s="76" t="str">
        <x:v>+ voir questions</x:v>
      </x:c>
      <x:c r="B29" s="76" t="str">
        <x:v>https://docs.google.com/document/d/1g8_dbI_z99DVU6aOHzjbSmF3xgrv4I_WhgNYpPEIsRE/edit#</x:v>
      </x:c>
      <x:c r="C29" s="76"/>
      <x:c r="D29" s="76"/>
      <x:c r="E29" s="76"/>
      <x:c r="F29" s="76"/>
      <x:c r="G29" s="76"/>
      <x:c r="H29" s="76"/>
      <x:c r="I29" s="76"/>
    </x:row>
    <x:row r="30" ht="24" customHeight="1">
      <x:c r="A30" s="76"/>
      <x:c r="B30" s="76"/>
      <x:c r="C30" s="76"/>
      <x:c r="D30" s="76"/>
      <x:c r="E30" s="76"/>
      <x:c r="F30" s="76"/>
      <x:c r="G30" s="76"/>
      <x:c r="H30" s="76"/>
      <x:c r="I30" s="76"/>
    </x:row>
    <x:row r="31" ht="24" customHeight="1">
      <x:c r="A31" s="76"/>
      <x:c r="B31" s="76"/>
      <x:c r="C31" s="76"/>
      <x:c r="D31" s="76"/>
      <x:c r="E31" s="76"/>
      <x:c r="F31" s="76"/>
      <x:c r="G31" s="76"/>
      <x:c r="H31" s="76"/>
      <x:c r="I31" s="76"/>
    </x:row>
    <x:row r="32" ht="24" customHeight="1">
      <x:c r="A32" s="76"/>
      <x:c r="B32" s="76"/>
      <x:c r="C32" s="76"/>
      <x:c r="D32" s="76"/>
      <x:c r="E32" s="76"/>
      <x:c r="F32" s="76"/>
      <x:c r="G32" s="76"/>
      <x:c r="H32" s="76"/>
      <x:c r="I32" s="76"/>
    </x:row>
    <x:row r="33" ht="24" customHeight="1">
      <x:c r="A33" s="76"/>
      <x:c r="B33" s="76"/>
      <x:c r="C33" s="76"/>
      <x:c r="D33" s="76"/>
      <x:c r="E33" s="76"/>
      <x:c r="F33" s="76"/>
      <x:c r="G33" s="76"/>
      <x:c r="H33" s="76"/>
      <x:c r="I33" s="76"/>
    </x:row>
    <x:row r="34" ht="24" customHeight="1">
      <x:c r="A34" s="76"/>
      <x:c r="B34" s="76"/>
      <x:c r="C34" s="76"/>
      <x:c r="D34" s="76"/>
      <x:c r="E34" s="76"/>
      <x:c r="F34" s="76"/>
      <x:c r="G34" s="76"/>
      <x:c r="H34" s="76"/>
      <x:c r="I34" s="76"/>
    </x:row>
    <x:row r="35" ht="24" customHeight="1">
      <x:c r="A35" s="76"/>
      <x:c r="B35" s="76"/>
      <x:c r="C35" s="76"/>
      <x:c r="D35" s="76"/>
      <x:c r="E35" s="76"/>
      <x:c r="F35" s="76"/>
      <x:c r="G35" s="76"/>
      <x:c r="H35" s="76"/>
      <x:c r="I35" s="76"/>
    </x:row>
    <x:row r="36" ht="24" customHeight="1">
      <x:c r="A36" s="76"/>
      <x:c r="B36" s="76"/>
      <x:c r="C36" s="76"/>
      <x:c r="D36" s="76"/>
      <x:c r="E36" s="76"/>
      <x:c r="F36" s="76"/>
      <x:c r="G36" s="76"/>
      <x:c r="H36" s="76"/>
      <x:c r="I36" s="76"/>
    </x:row>
    <x:row r="37" ht="24" customHeight="1">
      <x:c r="A37" s="76"/>
      <x:c r="B37" s="76"/>
      <x:c r="C37" s="76"/>
      <x:c r="D37" s="76"/>
      <x:c r="E37" s="76"/>
      <x:c r="F37" s="76"/>
      <x:c r="G37" s="76"/>
      <x:c r="H37" s="76"/>
      <x:c r="I37" s="76"/>
    </x:row>
    <x:row r="38" ht="24" customHeight="1">
      <x:c r="A38" s="76"/>
      <x:c r="B38" s="76"/>
      <x:c r="C38" s="76"/>
      <x:c r="D38" s="76"/>
      <x:c r="E38" s="76"/>
      <x:c r="F38" s="76"/>
      <x:c r="G38" s="76"/>
      <x:c r="H38" s="76"/>
      <x:c r="I38" s="76"/>
    </x:row>
    <x:row r="39" ht="24" customHeight="1">
      <x:c r="A39" s="76"/>
      <x:c r="B39" s="76"/>
      <x:c r="C39" s="76"/>
      <x:c r="D39" s="76"/>
      <x:c r="E39" s="76"/>
      <x:c r="F39" s="76"/>
      <x:c r="G39" s="76"/>
      <x:c r="H39" s="76"/>
      <x:c r="I39" s="76"/>
    </x:row>
    <x:row r="40" ht="24" customHeight="1">
      <x:c r="A40" s="76"/>
      <x:c r="B40" s="76"/>
      <x:c r="C40" s="76"/>
      <x:c r="D40" s="76"/>
      <x:c r="E40" s="76"/>
      <x:c r="F40" s="76"/>
      <x:c r="G40" s="76"/>
      <x:c r="H40" s="76"/>
      <x:c r="I40" s="76"/>
    </x:row>
    <x:row r="41" ht="24" customHeight="1">
      <x:c r="A41" s="76"/>
      <x:c r="B41" s="76"/>
      <x:c r="C41" s="76"/>
      <x:c r="D41" s="76"/>
      <x:c r="E41" s="76"/>
      <x:c r="F41" s="76"/>
      <x:c r="G41" s="76"/>
      <x:c r="H41" s="76"/>
      <x:c r="I41" s="76"/>
    </x:row>
    <x:row r="42" ht="24" customHeight="1">
      <x:c r="A42" s="76"/>
      <x:c r="B42" s="76"/>
      <x:c r="C42" s="76"/>
      <x:c r="D42" s="76"/>
      <x:c r="E42" s="76"/>
      <x:c r="F42" s="76"/>
      <x:c r="G42" s="76"/>
      <x:c r="H42" s="76"/>
      <x:c r="I42" s="76"/>
    </x:row>
    <x:row r="43" ht="24" customHeight="1">
      <x:c r="A43" s="76"/>
      <x:c r="B43" s="76"/>
      <x:c r="C43" s="76"/>
      <x:c r="D43" s="76"/>
      <x:c r="E43" s="76"/>
      <x:c r="F43" s="76"/>
      <x:c r="G43" s="76"/>
      <x:c r="H43" s="76"/>
      <x:c r="I43" s="76"/>
    </x:row>
    <x:row r="44" ht="24" customHeight="1">
      <x:c r="A44" s="76" t="str">
        <x:v>DERNIERE PAUSE - IGNORER</x:v>
      </x:c>
      <x:c r="B44" s="76"/>
      <x:c r="C44" s="76"/>
      <x:c r="D44" s="76"/>
      <x:c r="E44" s="76"/>
      <x:c r="F44" s="76"/>
      <x:c r="G44" s="76"/>
      <x:c r="H44" s="76"/>
      <x:c r="I44" s="76"/>
    </x:row>
    <x:row r="45" ht="24" customHeight="1">
      <x:c r="A45" s="76" t="str">
        <x:v>Quel prix pour upgrader le sceptre de garant du pacte :</x:v>
      </x:c>
      <x:c r="B45" s="76"/>
      <x:c r="C45" s="76"/>
      <x:c r="D45" s="76"/>
      <x:c r="E45" s="76"/>
      <x:c r="F45" s="76"/>
      <x:c r="G45" s="76"/>
      <x:c r="H45" s="76"/>
      <x:c r="I45" s="76"/>
    </x:row>
    <x:row r="46" ht="24" customHeight="1">
      <x:c r="A46" s="76"/>
      <x:c r="B46" s="76" t="str">
        <x:v>À rare ? </x:v>
      </x:c>
      <x:c r="C46" s="76"/>
      <x:c r="D46" s="76"/>
      <x:c r="E46" s="76"/>
      <x:c r="F46" s="76"/>
      <x:c r="G46" s="76"/>
      <x:c r="H46" s="76"/>
      <x:c r="I46" s="76"/>
    </x:row>
    <x:row r="47" ht="24" customHeight="1">
      <x:c r="A47" s="76"/>
      <x:c r="B47" s="76" t="str">
        <x:v>À très rare ? </x:v>
      </x:c>
      <x:c r="C47" s="76"/>
      <x:c r="D47" s="76"/>
      <x:c r="E47" s="76"/>
      <x:c r="F47" s="76"/>
      <x:c r="G47" s="76"/>
      <x:c r="H47" s="76"/>
      <x:c r="I47" s="76"/>
    </x:row>
    <x:row r="48" ht="24" customHeight="1">
      <x:c r="A48" s="76" t="str">
        <x:v>Anneau de stockage de sorts : possible de choisir avec quel lvl je lance des sorts dans l'anneau ? </x:v>
      </x:c>
      <x:c r="B48" s="76"/>
      <x:c r="C48" s="76"/>
      <x:c r="D48" s="76"/>
      <x:c r="E48" s="76"/>
      <x:c r="F48" s="76"/>
      <x:c r="G48" s="76"/>
      <x:c r="H48" s="76"/>
      <x:c r="I48" s="76"/>
    </x:row>
    <x:row r="49" ht="24" customHeight="1">
      <x:c r="A49" s="76"/>
      <x:c r="B49" s="76"/>
      <x:c r="C49" s="76"/>
      <x:c r="D49" s="76"/>
      <x:c r="E49" s="76"/>
      <x:c r="F49" s="76"/>
      <x:c r="G49" s="76"/>
      <x:c r="H49" s="76"/>
      <x:c r="I49" s="76"/>
    </x:row>
    <x:row r="50" ht="24" customHeight="1">
      <x:c r="A50" s="76"/>
      <x:c r="B50" s="76"/>
      <x:c r="C50" s="76"/>
      <x:c r="D50" s="76"/>
      <x:c r="E50" s="76"/>
      <x:c r="F50" s="76"/>
      <x:c r="G50" s="76"/>
      <x:c r="H50" s="76"/>
      <x:c r="I50" s="76"/>
    </x:row>
    <x:row r="51" ht="24" customHeight="1">
      <x:c r="A51" s="76"/>
      <x:c r="B51" s="76" t="str">
        <x:v>Rareté </x:v>
      </x:c>
      <x:c r="C51" s="76" t="str">
        <x:v>Priorité pour les chercher</x:v>
      </x:c>
      <x:c r="D51" s="76" t="str">
        <x:v>Retenu ? </x:v>
      </x:c>
      <x:c r="E51" s="76" t="str">
        <x:v>Lien ? </x:v>
      </x:c>
      <x:c r="F51" s="76" t="str">
        <x:v>Valeur (à remplir par Bazire)</x:v>
      </x:c>
      <x:c r="G51" s="76" t="str">
        <x:v>Prix Gemmaline</x:v>
      </x:c>
      <x:c r="H51" s="76" t="str">
        <x:v>Source</x:v>
      </x:c>
      <x:c r="I51" s="76"/>
    </x:row>
    <x:row r="52" ht="24" customHeight="1">
      <x:c r="A52" s="76" t="str">
        <x:v>Sac sans fond</x:v>
      </x:c>
      <x:c r="B52" s="76" t="str">
        <x:v>peu commun</x:v>
      </x:c>
      <x:c r="C52" s="76" t="n">
        <x:v>1</x:v>
      </x:c>
      <x:c r="D52" s="76" t="str">
        <x:v>Oui</x:v>
      </x:c>
      <x:c r="E52" s="76"/>
      <x:c r="F52" s="76" t="n">
        <x:v>500</x:v>
      </x:c>
      <x:c r="G52" s="76"/>
      <x:c r="H52" s="76" t="str">
        <x:v>aidedd</x:v>
      </x:c>
      <x:c r="I52" s="76"/>
    </x:row>
    <x:row r="53" ht="24" customHeight="1">
      <x:c r="A53" s="76" t="str">
        <x:v>Illusionist's bracers</x:v>
      </x:c>
      <x:c r="B53" s="76" t="str">
        <x:v>Très rare</x:v>
      </x:c>
      <x:c r="C53" s="76" t="n">
        <x:v>2</x:v>
      </x:c>
      <x:c r="D53" s="76" t="str">
        <x:v>Oui</x:v>
      </x:c>
      <x:c r="E53" s="76" t="str">
        <x:v>X</x:v>
      </x:c>
      <x:c r="F53" s="76" t="str">
        <x:v>Non</x:v>
      </x:c>
      <x:c r="G53" s="76"/>
      <x:c r="H53" s="76" t="str">
        <x:v>Guildmasters' Guide to Ravnica</x:v>
      </x:c>
      <x:c r="I53" s="76"/>
    </x:row>
    <x:row r="54" ht="24" customHeight="1">
      <x:c r="A54" s="76" t="str">
        <x:v>Cloak of displacement</x:v>
      </x:c>
      <x:c r="B54" s="76" t="str">
        <x:v>Rare</x:v>
      </x:c>
      <x:c r="C54" s="76"/>
      <x:c r="D54" s="76"/>
      <x:c r="E54" s="76" t="str">
        <x:v>X</x:v>
      </x:c>
      <x:c r="F54" s="76"/>
      <x:c r="G54" s="76"/>
      <x:c r="H54" s="76" t="str">
        <x:v>aidedd</x:v>
      </x:c>
      <x:c r="I54" s="76"/>
    </x:row>
    <x:row r="55" ht="24" customHeight="1">
      <x:c r="A55" s="76" t="str">
        <x:v>Anneau de stockage de sorts</x:v>
      </x:c>
      <x:c r="B55" s="76" t="str">
        <x:v>Rare</x:v>
      </x:c>
      <x:c r="C55" s="76" t="n">
        <x:v>3</x:v>
      </x:c>
      <x:c r="D55" s="76" t="str">
        <x:v>Oui, si pas trouvé bracers</x:v>
      </x:c>
      <x:c r="E55" s="76" t="str">
        <x:v>X</x:v>
      </x:c>
      <x:c r="F55" s="76" t="n">
        <x:v>4312</x:v>
      </x:c>
      <x:c r="G55" s="76"/>
      <x:c r="H55" s="76" t="str">
        <x:v>dnd beyond</x:v>
      </x:c>
      <x:c r="I55" s="76"/>
    </x:row>
    <x:row r="56" ht="24" customHeight="1">
      <x:c r="A56" s="76" t="str">
        <x:v>Upgrade rod of the pact keeper</x:v>
      </x:c>
      <x:c r="B56" s="76" t="str">
        <x:v>Peu commun-&gt;très rare</x:v>
      </x:c>
      <x:c r="C56" s="76" t="n">
        <x:v>4</x:v>
      </x:c>
      <x:c r="D56" s="76" t="str">
        <x:v>Oui</x:v>
      </x:c>
      <x:c r="E56" s="76"/>
      <x:c r="F56" s="76" t="str">
        <x:v>25-30K (19 000)</x:v>
      </x:c>
      <x:c r="G56" s="76"/>
      <x:c r="H56" s="76"/>
      <x:c r="I56" s="76"/>
    </x:row>
    <x:row r="57" ht="24" customHeight="1">
      <x:c r="A57" s="76" t="str">
        <x:v>Enchanter armure de cuir cloutee +1 -&gt; +2, changepeau</x:v>
      </x:c>
      <x:c r="B57" s="76"/>
      <x:c r="C57" s="76" t="n">
        <x:v>5</x:v>
      </x:c>
      <x:c r="D57" s="76" t="str">
        <x:v>Oui</x:v>
      </x:c>
      <x:c r="E57" s="76"/>
      <x:c r="F57" s="76" t="str">
        <x:v>15K (+1 chagepeau 5 fois par jour =&gt; 2180 ), 14790 =&gt; passage de +1 a +2 et effet permanent</x:v>
      </x:c>
      <x:c r="G57" s="76"/>
      <x:c r="H57" s="76"/>
      <x:c r="I57" s="76"/>
    </x:row>
    <x:row r="58" ht="24" customHeight="1">
      <x:c r="A58" s="76" t="str">
        <x:v>Bottes de gravité </x:v>
      </x:c>
      <x:c r="B58" s="76" t="str">
        <x:v>? </x:v>
      </x:c>
      <x:c r="C58" s="76" t="n">
        <x:v>6</x:v>
      </x:c>
      <x:c r="D58" s="76" t="str">
        <x:v>Oui</x:v>
      </x:c>
      <x:c r="E58" s="76" t="str">
        <x:v>? </x:v>
      </x:c>
      <x:c r="F58" s="76"/>
      <x:c r="G58" s="76" t="n">
        <x:v>50400</x:v>
      </x:c>
      <x:c r="H58" s="76" t="str">
        <x:v>Gemmaline</x:v>
      </x:c>
      <x:c r="I58" s="76"/>
    </x:row>
    <x:row r="59" ht="24" customHeight="1">
      <x:c r="A59" s="76" t="str">
        <x:v>Anneau du mage de combat</x:v>
      </x:c>
      <x:c r="B59" s="76" t="str">
        <x:v>? </x:v>
      </x:c>
      <x:c r="C59" s="76" t="n">
        <x:v>7</x:v>
      </x:c>
      <x:c r="D59" s="76" t="str">
        <x:v>Oui</x:v>
      </x:c>
      <x:c r="E59" s="76" t="str">
        <x:v>? </x:v>
      </x:c>
      <x:c r="F59" s="76"/>
      <x:c r="G59" s="76" t="n">
        <x:v>12000</x:v>
      </x:c>
      <x:c r="H59" s="76" t="str">
        <x:v>Gemmaline</x:v>
      </x:c>
      <x:c r="I59" s="76"/>
    </x:row>
    <x:row r="60" ht="24" customHeight="1">
      <x:c r="A60" s="76" t="str">
        <x:v>Cloak of arachnida</x:v>
      </x:c>
      <x:c r="B60" s="76" t="str">
        <x:v>Très rare</x:v>
      </x:c>
      <x:c r="C60" s="76" t="n">
        <x:v>8</x:v>
      </x:c>
      <x:c r="D60" s="76" t="str">
        <x:v>Oui, si lien possible</x:v>
      </x:c>
      <x:c r="E60" s="76" t="str">
        <x:v>X</x:v>
      </x:c>
      <x:c r="F60" s="76"/>
      <x:c r="G60" s="76"/>
      <x:c r="H60" s="76" t="str">
        <x:v>Aidedd</x:v>
      </x:c>
      <x:c r="I60" s="76"/>
    </x:row>
    <x:row r="61" ht="24" customHeight="1">
      <x:c r="A61" s="76" t="str">
        <x:v>Cloak of Many Fashions</x:v>
      </x:c>
      <x:c r="B61" s="76" t="str">
        <x:v>Commun</x:v>
      </x:c>
      <x:c r="C61" s="76"/>
      <x:c r="D61" s="76" t="str">
        <x:v>Oui, si pas autre cape</x:v>
      </x:c>
      <x:c r="E61" s="76"/>
      <x:c r="F61" s="76"/>
      <x:c r="G61" s="76"/>
      <x:c r="H61" s="76" t="str">
        <x:v>Xanathar</x:v>
      </x:c>
      <x:c r="I61" s="76"/>
    </x:row>
    <x:row r="62" ht="24" customHeight="1">
      <x:c r="A62" s="76" t="str">
        <x:v>Tankard of sobriety</x:v>
      </x:c>
      <x:c r="B62" s="76" t="str">
        <x:v>Commun</x:v>
      </x:c>
      <x:c r="C62" s="76"/>
      <x:c r="D62" s="76" t="str">
        <x:v>Oui</x:v>
      </x:c>
      <x:c r="E62" s="76"/>
      <x:c r="F62" s="76"/>
      <x:c r="G62" s="76"/>
      <x:c r="H62" s="76" t="str">
        <x:v>Xanathar </x:v>
      </x:c>
      <x:c r="I62" s="76"/>
    </x:row>
    <x:row r="63" ht="24" customHeight="1">
      <x:c r="A63" s="76" t="str">
        <x:v>Cleansing stone</x:v>
      </x:c>
      <x:c r="B63" s="76" t="str">
        <x:v>Commun</x:v>
      </x:c>
      <x:c r="C63" s="76"/>
      <x:c r="D63" s="76" t="str">
        <x:v>Oui</x:v>
      </x:c>
      <x:c r="E63" s="76"/>
      <x:c r="F63" s="76"/>
      <x:c r="G63" s="76"/>
      <x:c r="H63" s="76" t="str">
        <x:v>Aidedd</x:v>
      </x:c>
      <x:c r="I63" s="76" t="str">
        <x:v>https://www.aidedd.org/en/intro/unearthed-arcana/magic-items-of-eberron/</x:v>
      </x:c>
    </x:row>
    <x:row r="64" ht="24" customHeight="1">
      <x:c r="A64" s="76" t="str">
        <x:v>Feather token</x:v>
      </x:c>
      <x:c r="B64" s="76" t="str">
        <x:v>Commun</x:v>
      </x:c>
      <x:c r="C64" s="76"/>
      <x:c r="D64" s="76" t="str">
        <x:v>Oui</x:v>
      </x:c>
      <x:c r="E64" s="76"/>
      <x:c r="F64" s="76"/>
      <x:c r="G64" s="76"/>
      <x:c r="H64" s="76" t="str">
        <x:v>Aidedd</x:v>
      </x:c>
      <x:c r="I64" s="76" t="str">
        <x:v>https://www.aidedd.org/en/intro/unearthed-arcana/magic-items-of-eberron/</x:v>
      </x:c>
    </x:row>
    <x:row r="65" ht="24" customHeight="1">
      <x:c r="A65" s="76" t="str">
        <x:v>Spellshard</x:v>
      </x:c>
      <x:c r="B65" s="76" t="str">
        <x:v>Commun</x:v>
      </x:c>
      <x:c r="C65" s="76"/>
      <x:c r="D65" s="76" t="str">
        <x:v>Oui</x:v>
      </x:c>
      <x:c r="E65" s="76"/>
      <x:c r="F65" s="76"/>
      <x:c r="G65" s="76"/>
      <x:c r="H65" s="76" t="str">
        <x:v>Aidedd</x:v>
      </x:c>
      <x:c r="I65" s="76" t="str">
        <x:v>https://www.aidedd.org/en/intro/unearthed-arcana/magic-items-of-eberron/</x:v>
      </x:c>
    </x:row>
    <x:row r="66" ht="24" customHeight="1">
      <x:c r="A66" s="76" t="str">
        <x:v>Tome of Leadership and Influence</x:v>
      </x:c>
      <x:c r="B66" s="76" t="str">
        <x:v>Très rare</x:v>
      </x:c>
      <x:c r="C66" s="76"/>
      <x:c r="D66" s="76"/>
      <x:c r="E66" s="76"/>
      <x:c r="F66" s="76" t="str">
        <x:v>PAS POUR LE MOMENT</x:v>
      </x:c>
      <x:c r="G66" s="76"/>
      <x:c r="H66" s="76" t="str">
        <x:v>Aidedd</x:v>
      </x:c>
      <x:c r="I66" s="76"/>
    </x:row>
    <x:row r="67" ht="24" customHeight="1">
      <x:c r="A67" s="76" t="str">
        <x:v>Enchanter armure -&gt; clignotement</x:v>
      </x:c>
      <x:c r="B67" s="76" t="str">
        <x:v>? </x:v>
      </x:c>
      <x:c r="C67" s="76"/>
      <x:c r="D67" s="76"/>
      <x:c r="E67" s="76"/>
      <x:c r="F67" s="76"/>
      <x:c r="G67" s="76" t="str">
        <x:v>plus 15 000</x:v>
      </x:c>
      <x:c r="H67" s="76" t="str">
        <x:v>Gemmaline</x:v>
      </x:c>
      <x:c r="I67" s="76"/>
    </x:row>
    <x:row r="68" ht="24" customHeight="1">
      <x:c r="A68" s="76" t="str">
        <x:v>Cape of the Mountebank</x:v>
      </x:c>
      <x:c r="B68" s="76" t="str">
        <x:v>Rare</x:v>
      </x:c>
      <x:c r="C68" s="76"/>
      <x:c r="D68" s="76"/>
      <x:c r="E68" s="76"/>
      <x:c r="F68" s="76" t="str">
        <x:v>5K max</x:v>
      </x:c>
      <x:c r="G68" s="76"/>
      <x:c r="H68" s="76" t="str">
        <x:v>Livre dm</x:v>
      </x:c>
      <x:c r="I68" s="76"/>
    </x:row>
    <x:row r="69" ht="24" customHeight="1">
      <x:c r="A69" s="76" t="str">
        <x:v>Manual of bodily health</x:v>
      </x:c>
      <x:c r="B69" s="76" t="str">
        <x:v>Très rare</x:v>
      </x:c>
      <x:c r="C69" s="76"/>
      <x:c r="D69" s="76"/>
      <x:c r="E69" s="76"/>
      <x:c r="F69" s="76" t="str">
        <x:v>PAS POUR LE MOMENT</x:v>
      </x:c>
      <x:c r="G69" s="76"/>
      <x:c r="H69" s="76"/>
      <x:c r="I69" s="76"/>
    </x:row>
    <x:row r="70" ht="24" customHeight="1">
      <x:c r="A70" s="76" t="str">
        <x:v>Chaussons de l'araignée </x:v>
      </x:c>
      <x:c r="B70" s="76" t="str">
        <x:v>Peu commun </x:v>
      </x:c>
      <x:c r="C70" s="76"/>
      <x:c r="D70" s="76"/>
      <x:c r="E70" s="76" t="str">
        <x:v>X</x:v>
      </x:c>
      <x:c r="F70" s="76"/>
      <x:c r="G70" s="76"/>
      <x:c r="H70" s="76"/>
      <x:c r="I70" s="76"/>
    </x:row>
    <x:row r="71" ht="24" customHeight="1">
      <x:c r="A71" s="76" t="str">
        <x:v>Bottes de pas latéral </x:v>
      </x:c>
      <x:c r="B71" s="76" t="str">
        <x:v>? </x:v>
      </x:c>
      <x:c r="C71" s="76"/>
      <x:c r="D71" s="76"/>
      <x:c r="E71" s="76" t="str">
        <x:v>?</x:v>
      </x:c>
      <x:c r="F71" s="76"/>
      <x:c r="G71" s="76" t="n">
        <x:v>3000</x:v>
      </x:c>
      <x:c r="H71" s="76" t="str">
        <x:v>Gemmaline</x:v>
      </x:c>
      <x:c r="I71" s="76"/>
    </x:row>
    <x:row r="72" ht="24" customHeight="1">
      <x:c r="A72" s="76" t="str">
        <x:v>Gants d'incantation mortelle</x:v>
      </x:c>
      <x:c r="B72" s="76" t="str">
        <x:v>? </x:v>
      </x:c>
      <x:c r="C72" s="76"/>
      <x:c r="D72" s="76"/>
      <x:c r="E72" s="76" t="str">
        <x:v>? </x:v>
      </x:c>
      <x:c r="F72" s="76" t="str">
        <x:v>NON</x:v>
      </x:c>
      <x:c r="G72" s="76" t="n">
        <x:v>14000</x:v>
      </x:c>
      <x:c r="H72" s="76" t="str">
        <x:v>Gemmaline</x:v>
      </x:c>
      <x:c r="I72" s="76"/>
    </x:row>
    <x:row r="73" ht="24" customHeight="1">
      <x:c r="A73" s="76" t="str">
        <x:v>Enchanter armure -&gt; changepeau</x:v>
      </x:c>
      <x:c r="B73" s="76"/>
      <x:c r="C73" s="76"/>
      <x:c r="D73" s="76"/>
      <x:c r="E73" s="76" t="str">
        <x:v>?</x:v>
      </x:c>
      <x:c r="F73" s="76" t="str">
        <x:v>A priori, oui</x:v>
      </x:c>
      <x:c r="G73" s="76" t="str">
        <x:v>13 160 pour +1</x:v>
      </x:c>
      <x:c r="H73" s="76" t="str">
        <x:v>Gemmaline</x:v>
      </x:c>
      <x:c r="I73" s="76"/>
    </x:row>
    <x:row r="74" ht="24" customHeight="1">
      <x:c r="A74" s="76" t="str">
        <x:v>Robe de couleurs étincelantes</x:v>
      </x:c>
      <x:c r="B74" s="76" t="str">
        <x:v>Très rare</x:v>
      </x:c>
      <x:c r="C74" s="76"/>
      <x:c r="D74" s="76"/>
      <x:c r="E74" s="76" t="str">
        <x:v>X</x:v>
      </x:c>
      <x:c r="F74" s="76"/>
      <x:c r="G74" s="76"/>
      <x:c r="H74" s="76" t="str">
        <x:v>Aidedd</x:v>
      </x:c>
      <x:c r="I74" s="76"/>
    </x:row>
    <x:row r="75" ht="24" customHeight="1">
      <x:c r="A75" s="76" t="str">
        <x:v>Anneaux de transport</x:v>
      </x:c>
      <x:c r="B75" s="76"/>
      <x:c r="C75" s="76"/>
      <x:c r="D75" s="76"/>
      <x:c r="E75" s="76"/>
      <x:c r="F75" s="76"/>
      <x:c r="G75" s="76"/>
      <x:c r="H75" s="76" t="str">
        <x:v>Gemmaline</x:v>
      </x:c>
      <x:c r="I75" s="76"/>
    </x:row>
    <x:row r="76" ht="24" customHeight="1">
      <x:c r="A76" s="76" t="str">
        <x:v>Cape de l'assassin</x:v>
      </x:c>
      <x:c r="B76" s="76"/>
      <x:c r="C76" s="76"/>
      <x:c r="D76" s="76"/>
      <x:c r="E76" s="76"/>
      <x:c r="F76" s="76" t="str">
        <x:v>WHY NOT, FAUT VOIR</x:v>
      </x:c>
      <x:c r="G76" s="76" t="n">
        <x:v>10000</x:v>
      </x:c>
      <x:c r="H76" s="76" t="str">
        <x:v>Gemmaline</x:v>
      </x:c>
      <x:c r="I76" s="76"/>
    </x:row>
    <x:row r="77" ht="24" customHeight="1">
      <x:c r="A77" s="76" t="str">
        <x:v>Armure +2 changepeau</x:v>
      </x:c>
      <x:c r="B77" s="76"/>
      <x:c r="C77" s="76"/>
      <x:c r="D77" s="76"/>
      <x:c r="E77" s="76"/>
      <x:c r="F77" s="76" t="n">
        <x:v>16000</x:v>
      </x:c>
      <x:c r="G77" s="76"/>
      <x:c r="H77" s="76"/>
      <x:c r="I77" s="76"/>
    </x:row>
    <x:row r="78" ht="24" customHeight="1">
      <x:c r="A78" s="76"/>
      <x:c r="B78" s="76"/>
      <x:c r="C78" s="76"/>
      <x:c r="D78" s="76"/>
      <x:c r="E78" s="76"/>
      <x:c r="F78" s="76"/>
      <x:c r="G78" s="76"/>
      <x:c r="H78" s="76"/>
      <x:c r="I78" s="76"/>
    </x:row>
    <x:row r="79" ht="24" customHeight="1">
      <x:c r="A79" s="76"/>
      <x:c r="B79" s="76"/>
      <x:c r="C79" s="76"/>
      <x:c r="D79" s="76"/>
      <x:c r="E79" s="76"/>
      <x:c r="F79" s="76"/>
      <x:c r="G79" s="76"/>
      <x:c r="H79" s="76"/>
      <x:c r="I79" s="76"/>
    </x:row>
    <x:row r="80" ht="24" customHeight="1">
      <x:c r="A80" s="76"/>
      <x:c r="B80" s="76"/>
      <x:c r="C80" s="76"/>
      <x:c r="D80" s="76"/>
      <x:c r="E80" s="76"/>
      <x:c r="F80" s="76"/>
      <x:c r="G80" s="76"/>
      <x:c r="H80" s="76"/>
      <x:c r="I80" s="76"/>
    </x:row>
    <x:row r="81" ht="24" customHeight="1">
      <x:c r="A81" s="76"/>
      <x:c r="B81" s="76"/>
      <x:c r="C81" s="76"/>
      <x:c r="D81" s="76"/>
      <x:c r="E81" s="76"/>
      <x:c r="F81" s="76"/>
      <x:c r="G81" s="76"/>
      <x:c r="H81" s="76"/>
      <x:c r="I81" s="76"/>
    </x:row>
    <x:row r="82" ht="24" customHeight="1">
      <x:c r="A82" s="76"/>
      <x:c r="B82" s="76" t="str">
        <x:v>MIN</x:v>
      </x:c>
      <x:c r="C82" s="76" t="str">
        <x:v>MAX</x:v>
      </x:c>
      <x:c r="D82" s="76" t="str">
        <x:v>Valeur exacte</x:v>
      </x:c>
      <x:c r="E82" s="76"/>
      <x:c r="F82" s="76"/>
      <x:c r="G82" s="76"/>
      <x:c r="H82" s="76"/>
      <x:c r="I82" s="76"/>
    </x:row>
    <x:row r="83" ht="24" customHeight="1">
      <x:c r="A83" s="76" t="str">
        <x:v>Recopier rituel Contact autre plan</x:v>
      </x:c>
      <x:c r="B83" s="76" t="n">
        <x:v>250</x:v>
      </x:c>
      <x:c r="C83" s="76" t="n">
        <x:v>250</x:v>
      </x:c>
      <x:c r="D83" s="76" t="n">
        <x:v>250</x:v>
      </x:c>
      <x:c r="E83" s="76"/>
      <x:c r="F83" s="76"/>
      <x:c r="G83" s="76"/>
      <x:c r="H83" s="76"/>
      <x:c r="I83" s="76"/>
    </x:row>
    <x:row r="84" ht="24" customHeight="1">
      <x:c r="A84" s="76" t="str">
        <x:v>Sac sans fond</x:v>
      </x:c>
      <x:c r="B84" s="76" t="n">
        <x:v>101</x:v>
      </x:c>
      <x:c r="C84" s="76" t="n">
        <x:v>500</x:v>
      </x:c>
      <x:c r="D84" s="76" t="n">
        <x:v>400</x:v>
      </x:c>
      <x:c r="E84" s="76"/>
      <x:c r="F84" s="76"/>
      <x:c r="G84" s="76"/>
      <x:c r="H84" s="76"/>
      <x:c r="I84" s="76"/>
    </x:row>
    <x:row r="85" ht="24" customHeight="1">
      <x:c r="A85" s="76" t="str">
        <x:v>Cape Mountebank</x:v>
      </x:c>
      <x:c r="B85" s="76" t="n">
        <x:v>501</x:v>
      </x:c>
      <x:c r="C85" s="76" t="n">
        <x:v>5000</x:v>
      </x:c>
      <x:c r="D85" s="76" t="n">
        <x:v>4000</x:v>
      </x:c>
      <x:c r="E85" s="76"/>
      <x:c r="F85" s="76"/>
      <x:c r="G85" s="76"/>
      <x:c r="H85" s="76"/>
      <x:c r="I85" s="76"/>
    </x:row>
    <x:row r="86" ht="24" customHeight="1">
      <x:c r="A86" s="76" t="str">
        <x:v>Anneau de stockage de sorts</x:v>
      </x:c>
      <x:c r="B86" s="76" t="n">
        <x:v>501</x:v>
      </x:c>
      <x:c r="C86" s="76" t="n">
        <x:v>5000</x:v>
      </x:c>
      <x:c r="D86" s="76" t="n">
        <x:v>4312</x:v>
      </x:c>
      <x:c r="E86" s="76"/>
      <x:c r="F86" s="76"/>
      <x:c r="G86" s="76"/>
      <x:c r="H86" s="76"/>
      <x:c r="I86" s="76"/>
    </x:row>
    <x:row r="87" ht="24" customHeight="1">
      <x:c r="A87" s="76" t="str">
        <x:v>Upgrade rod of the pact keeper</x:v>
      </x:c>
      <x:c r="B87" s="76" t="n">
        <x:v>25000</x:v>
      </x:c>
      <x:c r="C87" s="76" t="n">
        <x:v>30000</x:v>
      </x:c>
      <x:c r="D87" s="76" t="n">
        <x:v>19000</x:v>
      </x:c>
      <x:c r="E87" s="76" t="str">
        <x:v>upgrade en +2 dernier tiers</x:v>
      </x:c>
      <x:c r="F87" s="76" t="str">
        <x:v>Une fois par jour, effet repos court sur effets warlock</x:v>
      </x:c>
      <x:c r="G87" s="76"/>
      <x:c r="H87" s="76"/>
      <x:c r="I87" s="76"/>
    </x:row>
    <x:row r="88" ht="24" customHeight="1">
      <x:c r="A88" s="76" t="str">
        <x:v>Enchanter armure de cuir cloutee +1 -&gt; changepeau chgt apparence 5 fois/jour</x:v>
      </x:c>
      <x:c r="B88" s="76"/>
      <x:c r="C88" s="76"/>
      <x:c r="D88" s="76" t="n">
        <x:v>2180</x:v>
      </x:c>
      <x:c r="E88" s="76"/>
      <x:c r="F88" s="76"/>
      <x:c r="G88" s="76"/>
      <x:c r="H88" s="76"/>
      <x:c r="I88" s="76"/>
    </x:row>
    <x:row r="89" ht="24" customHeight="1">
      <x:c r="A89" s="76" t="str">
        <x:v>Armure +2, changepeau permanent </x:v>
      </x:c>
      <x:c r="B89" s="76"/>
      <x:c r="C89" s="76"/>
      <x:c r="D89" s="76" t="n">
        <x:v>14790</x:v>
      </x:c>
      <x:c r="E89" s="76"/>
      <x:c r="F89" s="76"/>
      <x:c r="G89" s="76"/>
      <x:c r="H89" s="76"/>
      <x:c r="I89" s="76"/>
    </x:row>
    <x:row r="90" ht="24" customHeight="1">
      <x:c r="A90" s="76"/>
      <x:c r="B90" s="76"/>
      <x:c r="C90" s="76"/>
      <x:c r="D90" s="76"/>
      <x:c r="E90" s="76"/>
      <x:c r="F90" s="76"/>
      <x:c r="G90" s="76"/>
      <x:c r="H90" s="76"/>
      <x:c r="I90" s="76"/>
    </x:row>
    <x:row r="91" ht="24" customHeight="1">
      <x:c r="A91" s="76"/>
      <x:c r="B91" s="76"/>
      <x:c r="C91" s="76"/>
      <x:c r="D91" s="76"/>
      <x:c r="E91" s="76"/>
      <x:c r="F91" s="76"/>
      <x:c r="G91" s="76"/>
      <x:c r="H91" s="76"/>
      <x:c r="I91" s="76"/>
    </x:row>
    <x:row r="92" ht="24" customHeight="1">
      <x:c r="A92" s="76" t="str">
        <x:v>Tankard of sobriety</x:v>
      </x:c>
      <x:c r="B92" s="76" t="n">
        <x:v>50</x:v>
      </x:c>
      <x:c r="C92" s="76" t="n">
        <x:v>100</x:v>
      </x:c>
      <x:c r="D92" s="76" t="n">
        <x:v>100</x:v>
      </x:c>
      <x:c r="E92" s="76"/>
      <x:c r="F92" s="76"/>
      <x:c r="G92" s="76"/>
      <x:c r="H92" s="76"/>
      <x:c r="I92" s="76"/>
    </x:row>
    <x:row r="93" ht="24" customHeight="1">
      <x:c r="A93" s="76" t="str">
        <x:v>Cleansing stone</x:v>
      </x:c>
      <x:c r="B93" s="76" t="n">
        <x:v>50</x:v>
      </x:c>
      <x:c r="C93" s="76" t="n">
        <x:v>100</x:v>
      </x:c>
      <x:c r="D93" s="76"/>
      <x:c r="E93" s="76"/>
      <x:c r="F93" s="76"/>
      <x:c r="G93" s="76"/>
      <x:c r="H93" s="76"/>
      <x:c r="I93" s="76"/>
    </x:row>
    <x:row r="94" ht="24" customHeight="1">
      <x:c r="A94" s="76" t="str">
        <x:v>Spellshard</x:v>
      </x:c>
      <x:c r="B94" s="76" t="n">
        <x:v>50</x:v>
      </x:c>
      <x:c r="C94" s="76" t="n">
        <x:v>100</x:v>
      </x:c>
      <x:c r="D94" s="76" t="n">
        <x:v>100</x:v>
      </x:c>
      <x:c r="E94" s="76"/>
      <x:c r="F94" s="76"/>
      <x:c r="G94" s="76"/>
      <x:c r="H94" s="76"/>
      <x:c r="I94" s="76"/>
    </x:row>
    <x:row r="95" ht="24" customHeight="1">
      <x:c r="A95" s="76" t="str">
        <x:v>2 potions de soin</x:v>
      </x:c>
      <x:c r="B95" s="76" t="n">
        <x:v>100</x:v>
      </x:c>
      <x:c r="C95" s="76" t="n">
        <x:v>100</x:v>
      </x:c>
      <x:c r="D95" s="76" t="n">
        <x:v>100</x:v>
      </x:c>
      <x:c r="E95" s="76"/>
      <x:c r="F95" s="76"/>
      <x:c r="G95" s="76"/>
      <x:c r="H95" s="76"/>
      <x:c r="I95" s="76"/>
    </x:row>
    <x:row r="96" ht="24" customHeight="1">
      <x:c r="A96" s="76" t="str">
        <x:v>TOTAL</x:v>
      </x:c>
      <x:c r="B96" s="76" t="str">
        <x:v>#REF!</x:v>
      </x:c>
      <x:c r="C96" s="76" t="str">
        <x:v>#REF!</x:v>
      </x:c>
      <x:c r="D96" s="76" t="str">
        <x:v>#REF!</x:v>
      </x:c>
      <x:c r="E96" s="76"/>
      <x:c r="F96" s="76" t="str">
        <x:v>#REF!</x:v>
      </x:c>
      <x:c r="G96" s="76"/>
      <x:c r="H96" s="76"/>
      <x:c r="I96" s="76"/>
    </x:row>
    <x:row r="97" ht="24" customHeight="1">
      <x:c r="A97" s="76"/>
      <x:c r="B97" s="76"/>
      <x:c r="C97" s="76"/>
      <x:c r="D97" s="76"/>
      <x:c r="E97" s="76"/>
      <x:c r="F97" s="76"/>
      <x:c r="G97" s="76"/>
      <x:c r="H97" s="76"/>
      <x:c r="I97" s="76"/>
    </x:row>
    <x:row r="98" ht="24" customHeight="1">
      <x:c r="A98" s="76"/>
      <x:c r="B98" s="76"/>
      <x:c r="C98" s="76"/>
      <x:c r="D98" s="76"/>
      <x:c r="E98" s="76"/>
      <x:c r="F98" s="76"/>
      <x:c r="G98" s="76"/>
      <x:c r="H98" s="76"/>
      <x:c r="I98" s="76"/>
    </x:row>
    <x:row r="99" ht="24" customHeight="1">
      <x:c r="A99" s="76"/>
      <x:c r="B99" s="76"/>
      <x:c r="C99" s="76"/>
      <x:c r="D99" s="76"/>
      <x:c r="E99" s="76"/>
      <x:c r="F99" s="76"/>
      <x:c r="G99" s="76"/>
      <x:c r="H99" s="76"/>
      <x:c r="I99" s="76"/>
    </x:row>
    <x:row r="100" ht="24" customHeight="1">
      <x:c r="A100" s="76"/>
      <x:c r="B100" s="76"/>
      <x:c r="C100" s="76"/>
      <x:c r="D100" s="76"/>
      <x:c r="E100" s="76"/>
      <x:c r="F100" s="76"/>
      <x:c r="G100" s="76"/>
      <x:c r="H100" s="76"/>
      <x:c r="I100" s="76"/>
    </x:row>
    <x:row r="101" ht="24" customHeight="1">
      <x:c r="A101" s="76"/>
      <x:c r="B101" s="76"/>
      <x:c r="C101" s="76"/>
      <x:c r="D101" s="76"/>
      <x:c r="E101" s="76"/>
      <x:c r="F101" s="76"/>
      <x:c r="G101" s="76"/>
      <x:c r="H101" s="76"/>
      <x:c r="I101" s="76"/>
    </x:row>
    <x:row r="102" ht="24" customHeight="1">
      <x:c r="A102" s="76" t="str">
        <x:v>spell gem - comprehension des langues</x:v>
      </x:c>
      <x:c r="B102" s="76" t="str">
        <x:v>peu commun</x:v>
      </x:c>
      <x:c r="C102" s="76"/>
      <x:c r="D102" s="76"/>
      <x:c r="E102" s="76"/>
      <x:c r="F102" s="76"/>
      <x:c r="G102" s="76"/>
      <x:c r="H102" s="76"/>
      <x:c r="I102" s="76"/>
    </x:row>
    <x:row r="103" ht="24" customHeight="1">
      <x:c r="A103" s="76" t="str">
        <x:v>spell gem - silence</x:v>
      </x:c>
      <x:c r="B103" s="76" t="str">
        <x:v>rare</x:v>
      </x:c>
      <x:c r="C103" s="76"/>
      <x:c r="D103" s="76"/>
      <x:c r="E103" s="76"/>
      <x:c r="F103" s="76"/>
      <x:c r="G103" s="76"/>
      <x:c r="H103" s="76"/>
      <x:c r="I103" s="76"/>
    </x:row>
    <x:row r="104" ht="24" customHeight="1">
      <x:c r="A104" s="76" t="str">
        <x:v>upgrade rod of the pact keeper +3</x:v>
      </x:c>
      <x:c r="B104" s="76"/>
      <x:c r="C104" s="76"/>
      <x:c r="D104" s="76"/>
      <x:c r="E104" s="76"/>
      <x:c r="F104" s="76"/>
      <x:c r="G104" s="76"/>
      <x:c r="H104" s="76"/>
      <x:c r="I104" s="76"/>
    </x:row>
    <x:row r="105" ht="24" customHeight="1">
      <x:c r="A105" s="76" t="str">
        <x:v>upgrade armure +3</x:v>
      </x:c>
      <x:c r="B105" s="76"/>
      <x:c r="C105" s="76"/>
      <x:c r="D105" s="76"/>
      <x:c r="E105" s="76"/>
      <x:c r="F105" s="76"/>
      <x:c r="G105" s="76"/>
      <x:c r="H105" s="76"/>
      <x:c r="I105" s="76"/>
    </x:row>
    <x:row r="106" ht="24" customHeight="1">
      <x:c r="A106" s="76" t="str">
        <x:v>amelioration weapon of warning</x:v>
      </x:c>
      <x:c r="B106" s="76" t="str">
        <x:v>peu commun</x:v>
      </x:c>
      <x:c r="C106" s="76" t="str">
        <x:v>avec l'upgrade du rod pact keeper</x:v>
      </x:c>
      <x:c r="D106" s="76" t="n">
        <x:v>36000</x:v>
      </x:c>
      <x:c r="E106" s="76"/>
      <x:c r="F106" s="76"/>
      <x:c r="G106" s="76"/>
      <x:c r="H106" s="76"/>
      <x:c r="I106" s="76"/>
    </x:row>
    <x:row r="107" ht="24" customHeight="1">
      <x:c r="A107" s="76" t="str">
        <x:v>vend amulette de bonne sante</x:v>
      </x:c>
      <x:c r="B107" s="76" t="str">
        <x:v>peu commun</x:v>
      </x:c>
      <x:c r="C107" s="76"/>
      <x:c r="D107" s="76" t="n">
        <x:v>-50</x:v>
      </x:c>
      <x:c r="E107" s="76"/>
      <x:c r="F107" s="76"/>
      <x:c r="G107" s="76"/>
      <x:c r="H107" s="76"/>
      <x:c r="I107" s="76"/>
    </x:row>
    <x:row r="108" ht="24" customHeight="1">
      <x:c r="A108" s="76" t="str">
        <x:v>periapt of proof against poison</x:v>
      </x:c>
      <x:c r="B108" s="76" t="str">
        <x:v>rare</x:v>
      </x:c>
      <x:c r="C108" s="76"/>
      <x:c r="D108" s="76" t="n">
        <x:v>1000</x:v>
      </x:c>
      <x:c r="E108" s="76"/>
      <x:c r="F108" s="76"/>
      <x:c r="G108" s="76"/>
      <x:c r="H108" s="76"/>
      <x:c r="I108" s="76"/>
    </x:row>
    <x:row r="109" ht="24" customHeight="1">
      <x:c r="A109" s="76" t="str">
        <x:v>chercher comment monter en grade chez les menestrels pour passer archimage</x:v>
      </x:c>
      <x:c r="B109" s="76"/>
      <x:c r="C109" s="76"/>
      <x:c r="D109" s="76"/>
      <x:c r="E109" s="76"/>
      <x:c r="F109" s="76"/>
      <x:c r="G109" s="76"/>
      <x:c r="H109" s="76"/>
      <x:c r="I109" s="76"/>
    </x:row>
    <x:row r="110" ht="24" customHeight="1">
      <x:c r="A110" s="76" t="str">
        <x:v>gemme sort topaz 6</x:v>
      </x:c>
      <x:c r="B110" s="76" t="str">
        <x:v>très rare</x:v>
      </x:c>
      <x:c r="C110" s="76"/>
      <x:c r="D110" s="76"/>
      <x:c r="E110" s="76"/>
      <x:c r="F110" s="76"/>
      <x:c r="G110" s="76"/>
      <x:c r="H110" s="76"/>
      <x:c r="I110" s="76"/>
    </x:row>
    <x:row r="111" ht="24" customHeight="1">
      <x:c r="A111" s="76" t="str">
        <x:v>item pour shadow of moil</x:v>
      </x:c>
      <x:c r="B111" s="76"/>
      <x:c r="C111" s="76"/>
      <x:c r="D111" s="76" t="n">
        <x:v>150</x:v>
      </x:c>
      <x:c r="E111" s="76"/>
      <x:c r="F111" s="76"/>
      <x:c r="G111" s="76"/>
      <x:c r="H111" s="76"/>
      <x:c r="I111" s="76"/>
    </x:row>
    <x:row r="112" ht="24" customHeight="1">
      <x:c r="A112" s="76"/>
      <x:c r="B112" s="76"/>
      <x:c r="C112" s="76"/>
      <x:c r="D112" s="76" t="n">
        <x:v>37100</x:v>
      </x:c>
      <x:c r="E112" s="76"/>
      <x:c r="F112" s="76"/>
      <x:c r="G112" s="76"/>
      <x:c r="H112" s="76"/>
      <x:c r="I112" s="76"/>
    </x:row>
    <x:row r="113" ht="24" customHeight="1">
      <x:c r="A113" s="76"/>
      <x:c r="B113" s="76"/>
      <x:c r="C113" s="76"/>
      <x:c r="D113" s="76"/>
      <x:c r="E113" s="76"/>
      <x:c r="F113" s="76"/>
      <x:c r="G113" s="76"/>
      <x:c r="H113" s="76"/>
      <x:c r="I113" s="76"/>
    </x:row>
    <x:row r="114" ht="24" customHeight="1">
      <x:c r="A114" s="76"/>
      <x:c r="B114" s="76"/>
      <x:c r="C114" s="76"/>
      <x:c r="D114" s="76" t="n">
        <x:v>10291</x:v>
      </x:c>
      <x:c r="E114" s="76"/>
      <x:c r="F114" s="76"/>
      <x:c r="G114" s="76"/>
      <x:c r="H114" s="76"/>
      <x:c r="I114" s="76"/>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Priorité</x:v>
      </x:c>
      <x:c r="B1" s="41" t="str">
        <x:v>Objet</x:v>
      </x:c>
      <x:c r="C1" s="41" t="str">
        <x:v>Rareté </x:v>
      </x:c>
      <x:c r="D1" s="41" t="str">
        <x:v>Prix gemmaline</x:v>
      </x:c>
      <x:c r="E1" s="41"/>
      <x:c r="F1" s="41" t="str">
        <x:v>Source</x:v>
      </x:c>
      <x:c r="G1" s="41" t="str">
        <x:v>Prix Bazire</x:v>
      </x:c>
      <x:c r="H1" s="41"/>
      <x:c r="I1" s="41"/>
      <x:c r="J1" s="41"/>
      <x:c r="K1" s="41"/>
      <x:c r="L1" s="41"/>
      <x:c r="M1" s="41"/>
      <x:c r="N1" s="41"/>
    </x:row>
    <x:row r="2" ht="24" customHeight="1">
      <x:c r="A2" s="76" t="n">
        <x:v>1</x:v>
      </x:c>
      <x:c r="B2" s="76" t="str">
        <x:v>Bâton des forets</x:v>
      </x:c>
      <x:c r="C2" s="76" t="str">
        <x:v>Rare</x:v>
      </x:c>
      <x:c r="D2" s="76"/>
      <x:c r="E2" s="76"/>
      <x:c r="F2" s="76" t="str">
        <x:v>Aide dd</x:v>
      </x:c>
      <x:c r="G2" s="76" t="n">
        <x:v>5000</x:v>
      </x:c>
      <x:c r="H2" s="76" t="str">
        <x:v>OK</x:v>
      </x:c>
      <x:c r="I2" s="76"/>
      <x:c r="J2" s="76"/>
      <x:c r="K2" s="76"/>
      <x:c r="L2" s="76"/>
      <x:c r="M2" s="76" t="n">
        <x:v>5000</x:v>
      </x:c>
      <x:c r="N2" s="76" t="str">
        <x:v>1 lien</x:v>
      </x:c>
    </x:row>
    <x:row r="3" ht="24" customHeight="1">
      <x:c r="A3" s="76"/>
      <x:c r="B3" s="76" t="str">
        <x:v>Chasuble de druide</x:v>
      </x:c>
      <x:c r="C3" s="76"/>
      <x:c r="D3" s="76" t="str">
        <x:v>10 000PO</x:v>
      </x:c>
      <x:c r="E3" s="76"/>
      <x:c r="F3" s="76"/>
      <x:c r="G3" s="76"/>
      <x:c r="H3" s="76"/>
      <x:c r="I3" s="76"/>
      <x:c r="J3" s="76"/>
      <x:c r="K3" s="76"/>
      <x:c r="L3" s="76"/>
      <x:c r="M3" s="76"/>
      <x:c r="N3" s="76"/>
    </x:row>
    <x:row r="4" ht="24" customHeight="1">
      <x:c r="A4" s="76" t="n">
        <x:v>2</x:v>
      </x:c>
      <x:c r="B4" s="76" t="str">
        <x:v>Anneau soin mystique</x:v>
      </x:c>
      <x:c r="C4" s="76"/>
      <x:c r="D4" s="76" t="str">
        <x:v>3500PO</x:v>
      </x:c>
      <x:c r="E4" s="76"/>
      <x:c r="F4" s="76" t="str">
        <x:v>Gemmaline</x:v>
      </x:c>
      <x:c r="G4" s="76" t="n">
        <x:v>12800</x:v>
      </x:c>
      <x:c r="H4" s="76"/>
      <x:c r="I4" s="76" t="str">
        <x:v>Construire par rapport à la baguette de boule de feu</x:v>
      </x:c>
      <x:c r="J4" s="76"/>
      <x:c r="K4" s="76"/>
      <x:c r="L4" s="76" t="str">
        <x:v>Retour </x:v>
      </x:c>
      <x:c r="M4" s="76" t="str">
        <x:v>max 12 800</x:v>
      </x:c>
      <x:c r="N4" s="76" t="str">
        <x:v>1 lien</x:v>
      </x:c>
    </x:row>
    <x:row r="5" ht="24" customHeight="1">
      <x:c r="A5" s="76"/>
      <x:c r="B5" s="76" t="str">
        <x:v>Bouclier antiprojectile</x:v>
      </x:c>
      <x:c r="C5" s="76" t="str">
        <x:v>Rare</x:v>
      </x:c>
      <x:c r="D5" s="76"/>
      <x:c r="E5" s="76"/>
      <x:c r="F5" s="76" t="str">
        <x:v>Aide dd</x:v>
      </x:c>
      <x:c r="G5" s="76"/>
      <x:c r="H5" s="76"/>
      <x:c r="I5" s="76"/>
      <x:c r="J5" s="76"/>
      <x:c r="K5" s="76"/>
      <x:c r="L5" s="76"/>
      <x:c r="M5" s="76"/>
      <x:c r="N5" s="76"/>
    </x:row>
    <x:row r="6" ht="24" customHeight="1">
      <x:c r="A6" s="76" t="n">
        <x:v>3</x:v>
      </x:c>
      <x:c r="B6" s="76" t="str">
        <x:v>Anneau de stockage de sort</x:v>
      </x:c>
      <x:c r="C6" s="76" t="str">
        <x:v>Rare</x:v>
      </x:c>
      <x:c r="D6" s="76"/>
      <x:c r="E6" s="76"/>
      <x:c r="F6" s="76" t="str">
        <x:v>Aide dd</x:v>
      </x:c>
      <x:c r="G6" s="76" t="n">
        <x:v>4012</x:v>
      </x:c>
      <x:c r="H6" s="76"/>
      <x:c r="I6" s="76"/>
      <x:c r="J6" s="76"/>
      <x:c r="K6" s="76"/>
      <x:c r="L6" s="76"/>
      <x:c r="M6" s="76" t="str">
        <x:v>Milo : 4012</x:v>
      </x:c>
      <x:c r="N6" s="76" t="str">
        <x:v>1 lien</x:v>
      </x:c>
    </x:row>
    <x:row r="7" ht="24" customHeight="1">
      <x:c r="A7" s="76"/>
      <x:c r="B7" s="76" t="str">
        <x:v>cape d'elfe</x:v>
      </x:c>
      <x:c r="C7" s="76"/>
      <x:c r="D7" s="76" t="n">
        <x:v>2500</x:v>
      </x:c>
      <x:c r="E7" s="76"/>
      <x:c r="F7" s="76" t="str">
        <x:v>Gemmaline</x:v>
      </x:c>
      <x:c r="G7" s="76"/>
      <x:c r="H7" s="76"/>
      <x:c r="I7" s="76"/>
      <x:c r="J7" s="76"/>
      <x:c r="K7" s="76"/>
      <x:c r="L7" s="76"/>
      <x:c r="M7" s="76"/>
      <x:c r="N7" s="76"/>
    </x:row>
    <x:row r="8" ht="24" customHeight="1">
      <x:c r="A8" s="76"/>
      <x:c r="B8" s="76" t="str">
        <x:v>botte d'elfe</x:v>
      </x:c>
      <x:c r="C8" s="76"/>
      <x:c r="D8" s="76" t="n">
        <x:v>2500</x:v>
      </x:c>
      <x:c r="E8" s="76"/>
      <x:c r="F8" s="76" t="str">
        <x:v>Gemmaline</x:v>
      </x:c>
      <x:c r="G8" s="76"/>
      <x:c r="H8" s="76"/>
      <x:c r="I8" s="76"/>
      <x:c r="J8" s="76"/>
      <x:c r="K8" s="76"/>
      <x:c r="L8" s="76"/>
      <x:c r="M8" s="76"/>
      <x:c r="N8" s="76"/>
    </x:row>
    <x:row r="9" ht="24" customHeight="1">
      <x:c r="A9" s="76"/>
      <x:c r="B9" s="76" t="str">
        <x:v>Bâton de guérison </x:v>
      </x:c>
      <x:c r="C9" s="76" t="str">
        <x:v>Rare</x:v>
      </x:c>
      <x:c r="D9" s="76"/>
      <x:c r="E9" s="76"/>
      <x:c r="F9" s="76" t="str">
        <x:v>Aide dd</x:v>
      </x:c>
      <x:c r="G9" s="76"/>
      <x:c r="H9" s="76" t="str">
        <x:v>Non</x:v>
      </x:c>
      <x:c r="I9" s="76"/>
      <x:c r="J9" s="76"/>
      <x:c r="K9" s="76"/>
      <x:c r="L9" s="76"/>
      <x:c r="M9" s="76"/>
      <x:c r="N9" s="76"/>
    </x:row>
    <x:row r="10" ht="24" customHeight="1">
      <x:c r="A10" s="76"/>
      <x:c r="B10" s="76" t="str">
        <x:v>Gants antiprojectile</x:v>
      </x:c>
      <x:c r="C10" s="76" t="str">
        <x:v>Peu commun</x:v>
      </x:c>
      <x:c r="D10" s="76"/>
      <x:c r="E10" s="76"/>
      <x:c r="F10" s="76" t="str">
        <x:v>Aide dd</x:v>
      </x:c>
      <x:c r="G10" s="76"/>
      <x:c r="H10" s="76"/>
      <x:c r="I10" s="76"/>
      <x:c r="J10" s="76"/>
      <x:c r="K10" s="76"/>
      <x:c r="L10" s="76"/>
      <x:c r="M10" s="76"/>
      <x:c r="N10" s="76"/>
    </x:row>
    <x:row r="11" ht="24" customHeight="1">
      <x:c r="A11" s="76"/>
      <x:c r="B11" s="76" t="str">
        <x:v>Forme animale sur mon armure de cuir</x:v>
      </x:c>
      <x:c r="C11" s="76"/>
      <x:c r="D11" s="76"/>
      <x:c r="E11" s="76" t="str">
        <x:v>Bonus +3</x:v>
      </x:c>
      <x:c r="F11" s="76" t="str">
        <x:v>Gemmaline</x:v>
      </x:c>
      <x:c r="G11" s="76"/>
      <x:c r="H11" s="76"/>
      <x:c r="I11" s="76"/>
      <x:c r="J11" s="76"/>
      <x:c r="K11" s="76"/>
      <x:c r="L11" s="76" t="str">
        <x:v> Armure de cuir clouté + 2 7600</x:v>
      </x:c>
      <x:c r="M11" s="76" t="str">
        <x:v>FA 21250</x:v>
      </x:c>
      <x:c r="N11" s="76" t="str">
        <x:v>1 lien</x:v>
      </x:c>
    </x:row>
    <x:row r="12" ht="24" customHeight="1">
      <x:c r="A12" s="76"/>
      <x:c r="B12" s="76" t="str">
        <x:v>Forme animale sur mon bouclier</x:v>
      </x:c>
      <x:c r="C12" s="76"/>
      <x:c r="D12" s="76"/>
      <x:c r="E12" s="76" t="str">
        <x:v>Bonus +3</x:v>
      </x:c>
      <x:c r="F12" s="76" t="str">
        <x:v>Gemmaline</x:v>
      </x:c>
      <x:c r="G12" s="76"/>
      <x:c r="H12" s="76"/>
      <x:c r="I12" s="76"/>
      <x:c r="J12" s="76"/>
      <x:c r="K12" s="76"/>
      <x:c r="L12" s="76"/>
      <x:c r="M12" s="76"/>
      <x:c r="N12" s="76"/>
    </x:row>
    <x:row r="13" ht="24" customHeight="1">
      <x:c r="A13" s="76" t="n">
        <x:v>5</x:v>
      </x:c>
      <x:c r="B13" s="76" t="str">
        <x:v>armure de cuir clouté +2 ( si le prix est raisonnable)</x:v>
      </x:c>
      <x:c r="C13" s="76"/>
      <x:c r="D13" s="76"/>
      <x:c r="E13" s="76"/>
      <x:c r="F13" s="76"/>
      <x:c r="G13" s="76" t="n">
        <x:v>0</x:v>
      </x:c>
      <x:c r="H13" s="76"/>
      <x:c r="I13" s="76"/>
      <x:c r="J13" s="76"/>
      <x:c r="K13" s="76"/>
      <x:c r="L13" s="76"/>
      <x:c r="M13" s="76"/>
      <x:c r="N13" s="76"/>
    </x:row>
    <x:row r="14" ht="24" customHeight="1">
      <x:c r="A14" s="76" t="n">
        <x:v>6</x:v>
      </x:c>
      <x:c r="B14" s="76" t="str">
        <x:v>Sac sans fond</x:v>
      </x:c>
      <x:c r="C14" s="76"/>
      <x:c r="D14" s="76"/>
      <x:c r="E14" s="76"/>
      <x:c r="F14" s="76"/>
      <x:c r="G14" s="76" t="n">
        <x:v>0</x:v>
      </x:c>
      <x:c r="H14" s="76"/>
      <x:c r="I14" s="76"/>
      <x:c r="J14" s="76"/>
      <x:c r="K14" s="76"/>
      <x:c r="L14" s="76"/>
      <x:c r="M14" s="76"/>
      <x:c r="N14" s="76"/>
    </x:row>
    <x:row r="15" ht="24" customHeight="1">
      <x:c r="A15" s="76" t="n">
        <x:v>7</x:v>
      </x:c>
      <x:c r="B15" s="76" t="str">
        <x:v>kit herboriste</x:v>
      </x:c>
      <x:c r="C15" s="76"/>
      <x:c r="D15" s="76"/>
      <x:c r="E15" s="76"/>
      <x:c r="F15" s="76"/>
      <x:c r="G15" s="76" t="n">
        <x:v>5</x:v>
      </x:c>
      <x:c r="H15" s="76"/>
      <x:c r="I15" s="76"/>
      <x:c r="J15" s="76"/>
      <x:c r="K15" s="76"/>
      <x:c r="L15" s="76"/>
      <x:c r="M15" s="76"/>
      <x:c r="N15" s="76"/>
    </x:row>
    <x:row r="16" ht="24" customHeight="1">
      <x:c r="A16" s="76" t="n">
        <x:v>8</x:v>
      </x:c>
      <x:c r="B16" s="76" t="str">
        <x:v>Corde d'escalade ( peu commun) pour me débrouiller quand je suis seule sans utiliser mes transformations</x:v>
      </x:c>
      <x:c r="C16" s="76"/>
      <x:c r="D16" s="76"/>
      <x:c r="E16" s="76"/>
      <x:c r="F16" s="76"/>
      <x:c r="G16" s="76" t="n">
        <x:v>0</x:v>
      </x:c>
      <x:c r="H16" s="76"/>
      <x:c r="I16" s="76"/>
      <x:c r="J16" s="76"/>
      <x:c r="K16" s="76"/>
      <x:c r="L16" s="76"/>
      <x:c r="M16" s="76"/>
      <x:c r="N16" s="76"/>
    </x:row>
    <x:row r="17" ht="24" customHeight="1">
      <x:c r="A17" s="76" t="n">
        <x:v>9</x:v>
      </x:c>
      <x:c r="B17" s="76" t="str">
        <x:v>Pierre de communication ( peu commun) pour permettre au groupe de communiquer si on split ou pour communiquer avec les autres si pb quand je pars seule ( portée illimitée)</x:v>
      </x:c>
      <x:c r="C17" s="76"/>
      <x:c r="D17" s="76"/>
      <x:c r="E17" s="76"/>
      <x:c r="F17" s="76"/>
      <x:c r="G17" s="76" t="n">
        <x:v>0</x:v>
      </x:c>
      <x:c r="H17" s="76"/>
      <x:c r="I17" s="76"/>
      <x:c r="J17" s="76"/>
      <x:c r="K17" s="76"/>
      <x:c r="L17" s="76"/>
      <x:c r="M17" s="76"/>
      <x:c r="N17" s="76"/>
    </x:row>
    <x:row r="18" ht="24" customHeight="1">
      <x:c r="A18" s="76" t="n">
        <x:v>10</x:v>
      </x:c>
      <x:c r="B18" s="76" t="str">
        <x:v>Potion de soin</x:v>
      </x:c>
      <x:c r="C18" s="76" t="str">
        <x:v>Commun</x:v>
      </x:c>
      <x:c r="D18" s="76" t="str">
        <x:v>2d4+2</x:v>
      </x:c>
      <x:c r="E18" s="76" t="n">
        <x:v>50</x:v>
      </x:c>
      <x:c r="F18" s="76" t="n">
        <x:v>0</x:v>
      </x:c>
      <x:c r="G18" s="76" t="n">
        <x:v>0</x:v>
      </x:c>
      <x:c r="H18" s="76"/>
      <x:c r="I18" s="76"/>
      <x:c r="J18" s="76"/>
      <x:c r="K18" s="76"/>
      <x:c r="L18" s="76"/>
      <x:c r="M18" s="76"/>
      <x:c r="N18" s="76"/>
    </x:row>
    <x:row r="19" ht="24" customHeight="1">
      <x:c r="A19" s="76"/>
      <x:c r="B19" s="76" t="str">
        <x:v>Potion de soin supérieur</x:v>
      </x:c>
      <x:c r="C19" s="76" t="str">
        <x:v>peu commun</x:v>
      </x:c>
      <x:c r="D19" s="76" t="str">
        <x:v>4d4+4</x:v>
      </x:c>
      <x:c r="E19" s="76" t="n">
        <x:v>500</x:v>
      </x:c>
      <x:c r="F19" s="76" t="n">
        <x:v>0</x:v>
      </x:c>
      <x:c r="G19" s="76" t="n">
        <x:v>0</x:v>
      </x:c>
      <x:c r="H19" s="76"/>
      <x:c r="I19" s="76"/>
      <x:c r="J19" s="76"/>
      <x:c r="K19" s="76"/>
      <x:c r="L19" s="76"/>
      <x:c r="M19" s="76"/>
      <x:c r="N19" s="76"/>
    </x:row>
    <x:row r="20" ht="24" customHeight="1">
      <x:c r="A20" s="76"/>
      <x:c r="B20" s="76" t="str">
        <x:v>Potion de soin majeur</x:v>
      </x:c>
      <x:c r="C20" s="76" t="str">
        <x:v>rare</x:v>
      </x:c>
      <x:c r="D20" s="76" t="str">
        <x:v>8d4+8</x:v>
      </x:c>
      <x:c r="E20" s="76" t="n">
        <x:v>5000</x:v>
      </x:c>
      <x:c r="F20" s="76" t="n">
        <x:v>0</x:v>
      </x:c>
      <x:c r="G20" s="76" t="n">
        <x:v>0</x:v>
      </x:c>
      <x:c r="H20" s="76"/>
      <x:c r="I20" s="76"/>
      <x:c r="J20" s="76"/>
      <x:c r="K20" s="76"/>
      <x:c r="L20" s="76"/>
      <x:c r="M20" s="76"/>
      <x:c r="N20" s="76"/>
    </x:row>
    <x:row r="21" ht="24" customHeight="1">
      <x:c r="A21" s="76"/>
      <x:c r="B21" s="76" t="str">
        <x:v>Potion supreme</x:v>
      </x:c>
      <x:c r="C21" s="76" t="str">
        <x:v>tres rare</x:v>
      </x:c>
      <x:c r="D21" s="76" t="str">
        <x:v>10d4+20</x:v>
      </x:c>
      <x:c r="E21" s="76" t="n">
        <x:v>50000</x:v>
      </x:c>
      <x:c r="F21" s="76" t="n">
        <x:v>0</x:v>
      </x:c>
      <x:c r="G21" s="76" t="n">
        <x:v>0</x:v>
      </x:c>
      <x:c r="H21" s="76"/>
      <x:c r="I21" s="76"/>
      <x:c r="J21" s="76"/>
      <x:c r="K21" s="76"/>
      <x:c r="L21" s="76"/>
      <x:c r="M21" s="76"/>
      <x:c r="N21" s="76"/>
    </x:row>
    <x:row r="22" ht="24" customHeight="1">
      <x:c r="A22" s="76" t="n">
        <x:v>11</x:v>
      </x:c>
      <x:c r="B22" s="76" t="str">
        <x:v>quelques paquets de poussière de disparition ( peu commun)</x:v>
      </x:c>
      <x:c r="C22" s="76"/>
      <x:c r="D22" s="76"/>
      <x:c r="E22" s="76" t="n">
        <x:v>250</x:v>
      </x:c>
      <x:c r="F22" s="76" t="n">
        <x:v>0</x:v>
      </x:c>
      <x:c r="G22" s="76" t="n">
        <x:v>0</x:v>
      </x:c>
      <x:c r="H22" s="76"/>
      <x:c r="I22" s="76"/>
      <x:c r="J22" s="76"/>
      <x:c r="K22" s="76"/>
      <x:c r="L22" s="76"/>
      <x:c r="M22" s="76"/>
      <x:c r="N22" s="76"/>
    </x:row>
    <x:row r="23" ht="24" customHeight="1">
      <x:c r="A23" s="76" t="n">
        <x:v>12</x:v>
      </x:c>
      <x:c r="B23" s="76" t="str">
        <x:v>Baguette de détection de la magie ( peu commun) , je ne compte pas préparer le sort et au final personne ne va le préparer donc ça peut servir et je n'ai pas besoin d'avoir la baguette en main sauf quand besoin.</x:v>
      </x:c>
      <x:c r="C23" s="76"/>
      <x:c r="D23" s="76"/>
      <x:c r="E23" s="76"/>
      <x:c r="F23" s="76" t="n">
        <x:v>0</x:v>
      </x:c>
      <x:c r="G23" s="76" t="n">
        <x:v>0</x:v>
      </x:c>
      <x:c r="H23" s="76"/>
      <x:c r="I23" s="76"/>
      <x:c r="J23" s="76"/>
      <x:c r="K23" s="76"/>
      <x:c r="L23" s="76"/>
      <x:c r="M23" s="76"/>
      <x:c r="N23" s="76"/>
    </x:row>
    <x:row r="24" ht="24" customHeight="1">
      <x:c r="A24" s="76" t="n">
        <x:v>13</x:v>
      </x:c>
      <x:c r="B24" s="76" t="str">
        <x:v>Des contenants pour les décoction et macération</x:v>
      </x:c>
      <x:c r="C24" s="76"/>
      <x:c r="D24" s="76"/>
      <x:c r="E24" s="76"/>
      <x:c r="F24" s="76"/>
      <x:c r="G24" s="76"/>
      <x:c r="H24" s="76"/>
      <x:c r="I24" s="76"/>
      <x:c r="J24" s="76"/>
      <x:c r="K24" s="76"/>
      <x:c r="L24" s="76"/>
      <x:c r="M24" s="76"/>
      <x:c r="N24" s="76"/>
    </x:row>
    <x:row r="25" ht="24" customHeight="1">
      <x:c r="A25" s="76"/>
      <x:c r="B25" s="76"/>
      <x:c r="C25" s="76"/>
      <x:c r="D25" s="76"/>
      <x:c r="E25" s="76"/>
      <x:c r="F25" s="76"/>
      <x:c r="G25" s="76" t="n">
        <x:v>40688</x:v>
      </x:c>
      <x:c r="H25" s="76"/>
      <x:c r="I25" s="76"/>
      <x:c r="J25" s="76"/>
      <x:c r="K25" s="76"/>
      <x:c r="L25" s="76"/>
      <x:c r="M25" s="76"/>
      <x:c r="N25" s="76"/>
    </x:row>
    <x:row r="26" ht="24" customHeight="1">
      <x:c r="A26" s="76"/>
      <x:c r="B26" s="76"/>
      <x:c r="C26" s="76"/>
      <x:c r="D26" s="76"/>
      <x:c r="E26" s="76"/>
      <x:c r="F26" s="76"/>
      <x:c r="G26" s="76" t="n">
        <x:v>18871</x:v>
      </x:c>
      <x:c r="H26" s="76"/>
      <x:c r="I26" s="76"/>
      <x:c r="J26" s="76"/>
      <x:c r="K26" s="76"/>
      <x:c r="L26" s="76"/>
      <x:c r="M26" s="76"/>
      <x:c r="N26" s="76"/>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24" customHeight="1">
      <x:c r="A1" s="41" t="str">
        <x:v>nom</x:v>
      </x:c>
      <x:c r="B1" s="41" t="str">
        <x:v>lien?</x:v>
      </x:c>
      <x:c r="C1" s="41" t="str">
        <x:v>Valeur</x:v>
      </x:c>
      <x:c r="D1" s="41" t="str">
        <x:v>Rareté </x:v>
      </x:c>
      <x:c r="E1" s="41" t="str">
        <x:v>source</x:v>
      </x:c>
      <x:c r="F1" s="41" t="str">
        <x:v>retenu?</x:v>
      </x:c>
      <x:c r="G1" s="41" t="str">
        <x:v>Prix final </x:v>
      </x:c>
      <x:c r="H1" s="41" t="str">
        <x:v>Commentaire</x:v>
      </x:c>
    </x:row>
    <x:row r="2" ht="24" customHeight="1">
      <x:c r="A2" s="76" t="str">
        <x:v>Bouclier +2</x:v>
      </x:c>
      <x:c r="B2" s="76" t="str">
        <x:v>Non</x:v>
      </x:c>
      <x:c r="C2" s="76" t="n">
        <x:v>6375</x:v>
      </x:c>
      <x:c r="D2" s="76" t="str">
        <x:v>rare</x:v>
      </x:c>
      <x:c r="E2" s="76" t="str">
        <x:v>aidedd</x:v>
      </x:c>
      <x:c r="F2" s="76"/>
      <x:c r="G2" s="76"/>
      <x:c r="H2" s="76"/>
    </x:row>
    <x:row r="3" ht="24" customHeight="1">
      <x:c r="A3" s="76"/>
      <x:c r="B3" s="76"/>
      <x:c r="C3" s="76"/>
      <x:c r="D3" s="76"/>
      <x:c r="E3" s="76"/>
      <x:c r="F3" s="76"/>
      <x:c r="G3" s="76"/>
      <x:c r="H3" s="76"/>
    </x:row>
    <x:row r="4" ht="24" customHeight="1">
      <x:c r="A4" s="76" t="str">
        <x:v>Cape de déplacement </x:v>
      </x:c>
      <x:c r="B4" s="76" t="str">
        <x:v>Oui</x:v>
      </x:c>
      <x:c r="C4" s="76" t="n">
        <x:v>2117</x:v>
      </x:c>
      <x:c r="D4" s="76" t="str">
        <x:v>Rare</x:v>
      </x:c>
      <x:c r="E4" s="76" t="str">
        <x:v>Aidedd</x:v>
      </x:c>
      <x:c r="F4" s="76"/>
      <x:c r="G4" s="76"/>
      <x:c r="H4" s="76" t="str">
        <x:v>jaune et vert à carreaux</x:v>
      </x:c>
    </x:row>
    <x:row r="5" ht="24" customHeight="1">
      <x:c r="A5" s="76" t="str">
        <x:v>2ifier l'armure (5950)</x:v>
      </x:c>
      <x:c r="B5" s="76" t="str">
        <x:v>non</x:v>
      </x:c>
      <x:c r="C5" s="76"/>
      <x:c r="D5" s="76" t="str">
        <x:v>Très rare </x:v>
      </x:c>
      <x:c r="E5" s="76" t="str">
        <x:v>Aidedd</x:v>
      </x:c>
      <x:c r="F5" s="76"/>
      <x:c r="G5" s="76"/>
      <x:c r="H5" s="76" t="str">
        <x:v>-&gt; baton de foudre voirs avec Bazire</x:v>
      </x:c>
    </x:row>
    <x:row r="6" ht="24" customHeight="1">
      <x:c r="A6" s="76" t="str">
        <x:v>outils de bricoleur</x:v>
      </x:c>
      <x:c r="B6" s="76"/>
      <x:c r="C6" s="76" t="str">
        <x:v>50po (outils) + 250PO (1Po/jour pendant 250j pr maîtrise d'outils)</x:v>
      </x:c>
      <x:c r="D6" s="76"/>
      <x:c r="E6" s="76" t="str">
        <x:v>AideDD</x:v>
      </x:c>
      <x:c r="F6" s="76"/>
      <x:c r="G6" s="76"/>
      <x:c r="H6" s="76" t="str">
        <x:v>poura permetre de proposer des petits trics sympa RP dans certaines situations</x:v>
      </x:c>
    </x:row>
    <x:row r="7" ht="24" customHeight="1">
      <x:c r="A7" s="76"/>
      <x:c r="B7" s="76"/>
      <x:c r="C7" s="76"/>
      <x:c r="D7" s="76"/>
      <x:c r="E7" s="76"/>
      <x:c r="F7" s="76"/>
      <x:c r="G7" s="76"/>
      <x:c r="H7" s="76"/>
    </x:row>
    <x:row r="8" ht="24" customHeight="1">
      <x:c r="A8" s="76" t="str">
        <x:v>anneau stockage sort</x:v>
      </x:c>
      <x:c r="B8" s="76" t="str">
        <x:v>OUi</x:v>
      </x:c>
      <x:c r="C8" s="76" t="n">
        <x:v>3140</x:v>
      </x:c>
      <x:c r="D8" s="76" t="str">
        <x:v>rare</x:v>
      </x:c>
      <x:c r="E8" s="76" t="str">
        <x:v>Aidedd</x:v>
      </x:c>
      <x:c r="F8" s="76"/>
      <x:c r="G8" s="76"/>
      <x:c r="H8" s="76"/>
    </x:row>
    <x:row r="9" ht="24" customHeight="1">
      <x:c r="A9" s="76" t="str">
        <x:v>bateau pliable</x:v>
      </x:c>
      <x:c r="B9" s="76" t="str">
        <x:v>non</x:v>
      </x:c>
      <x:c r="C9" s="76" t="n">
        <x:v>3996</x:v>
      </x:c>
      <x:c r="D9" s="76" t="str">
        <x:v>rare</x:v>
      </x:c>
      <x:c r="E9" s="76" t="str">
        <x:v>aidedd</x:v>
      </x:c>
      <x:c r="F9" s="76"/>
      <x:c r="G9" s="76"/>
      <x:c r="H9" s="76" t="str">
        <x:v>MARIN !!!! à customiser à volonté</x:v>
      </x:c>
    </x:row>
    <x:row r="10" ht="24" customHeight="1">
      <x:c r="A10" s="76" t="str">
        <x:v>BOL DE CONTRÔLE DES ÉLÉMENTAIRES DE L'EAU</x:v>
      </x:c>
      <x:c r="B10" s="76" t="str">
        <x:v>non</x:v>
      </x:c>
      <x:c r="C10" s="76" t="n">
        <x:v>3800</x:v>
      </x:c>
      <x:c r="D10" s="76" t="str">
        <x:v>rare</x:v>
      </x:c>
      <x:c r="E10" s="76" t="str">
        <x:v>aidedd</x:v>
      </x:c>
      <x:c r="F10" s="76"/>
      <x:c r="G10" s="76"/>
      <x:c r="H10" s="76" t="str">
        <x:v>copain !!! catalyseur de sorts de vision</x:v>
      </x:c>
    </x:row>
    <x:row r="11" ht="24" customHeight="1">
      <x:c r="A11" s="76"/>
      <x:c r="B11" s="76"/>
      <x:c r="C11" s="76"/>
      <x:c r="D11" s="76"/>
      <x:c r="E11" s="76"/>
      <x:c r="F11" s="76"/>
      <x:c r="G11" s="76"/>
      <x:c r="H11" s="76"/>
    </x:row>
    <x:row r="12" ht="24" customHeight="1">
      <x:c r="A12" s="76" t="str">
        <x:v>Cor du valhala</x:v>
      </x:c>
      <x:c r="B12" s="76"/>
      <x:c r="C12" s="76" t="n">
        <x:v>3800</x:v>
      </x:c>
      <x:c r="D12" s="76"/>
      <x:c r="E12" s="76"/>
      <x:c r="F12" s="76"/>
      <x:c r="G12" s="76"/>
      <x:c r="H12" s="76"/>
    </x:row>
    <x:row r="13" ht="24" customHeight="1">
      <x:c r="A13" s="76"/>
      <x:c r="B13" s="76"/>
      <x:c r="C13" s="76"/>
      <x:c r="D13" s="76"/>
      <x:c r="E13" s="76"/>
      <x:c r="F13" s="76"/>
      <x:c r="G13" s="76"/>
      <x:c r="H13" s="76"/>
    </x:row>
    <x:row r="14" ht="24" customHeight="1">
      <x:c r="A14" s="76"/>
      <x:c r="B14" s="76"/>
      <x:c r="C14" s="76"/>
      <x:c r="D14" s="76"/>
      <x:c r="E14" s="76"/>
      <x:c r="F14" s="76"/>
      <x:c r="G14" s="76"/>
      <x:c r="H14" s="76"/>
    </x:row>
    <x:row r="15" ht="24" customHeight="1">
      <x:c r="A15" s="76" t="str">
        <x:v>Trident des tempêtes</x:v>
      </x:c>
      <x:c r="B15" s="76" t="str">
        <x:v>oui</x:v>
      </x:c>
      <x:c r="C15" s="76"/>
      <x:c r="D15" s="76"/>
      <x:c r="E15" s="76"/>
      <x:c r="F15" s="76"/>
      <x:c r="G15" s="76"/>
      <x:c r="H1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x:v>
      </x:c>
    </x:row>
    <x:row r="16" ht="24" customHeight="1">
      <x:c r="A16" s="76"/>
      <x:c r="B16" s="76"/>
      <x:c r="C16" s="76" t="n">
        <x:v>5000</x:v>
      </x:c>
      <x:c r="D16" s="76" t="n">
        <x:v>15642</x:v>
      </x:c>
      <x:c r="E16" s="76"/>
      <x:c r="F16" s="76"/>
      <x:c r="G16" s="76"/>
      <x:c r="H16" s="76"/>
    </x:row>
    <x:row r="17" ht="24" customHeight="1">
      <x:c r="A17" s="76"/>
      <x:c r="B17" s="76"/>
      <x:c r="C17" s="76" t="n">
        <x:v>28228</x:v>
      </x:c>
      <x:c r="D17" s="76"/>
      <x:c r="E17" s="76"/>
      <x:c r="F17" s="76"/>
      <x:c r="G17" s="76"/>
      <x:c r="H17" s="76"/>
    </x:row>
    <x:row r="18" ht="24" customHeight="1">
      <x:c r="A18" s="76" t="str">
        <x:v>anciens achats (démasquer)</x:v>
      </x:c>
      <x:c r="B18" s="76"/>
      <x:c r="C18" s="76"/>
      <x:c r="D18" s="76"/>
      <x:c r="E18" s="76"/>
      <x:c r="F18" s="76"/>
      <x:c r="G18" s="76"/>
      <x:c r="H18" s="76"/>
    </x:row>
    <x:row r="19" ht="24" customHeight="1">
      <x:c r="A19" s="76"/>
      <x:c r="B19" s="76"/>
      <x:c r="C19" s="76"/>
      <x:c r="D19" s="76"/>
      <x:c r="E19" s="76"/>
      <x:c r="F19" s="76"/>
      <x:c r="G19" s="76"/>
      <x:c r="H19" s="76"/>
    </x:row>
    <x:row r="20" ht="24" customHeight="1">
      <x:c r="A20" s="76" t="str">
        <x:v>Objets à chercher</x:v>
      </x:c>
      <x:c r="B20" s="76"/>
      <x:c r="C20" s="76"/>
      <x:c r="D20" s="76"/>
      <x:c r="E20" s="76"/>
      <x:c r="F20" s="76"/>
      <x:c r="G20" s="76"/>
      <x:c r="H20" s="76"/>
    </x:row>
    <x:row r="21" ht="24" customHeight="1">
      <x:c r="A21" s="76" t="str">
        <x:v>amulette de dévotion (+2 ou +3)</x:v>
      </x:c>
      <x:c r="B21" s="76" t="str">
        <x:v>oui</x:v>
      </x:c>
      <x:c r="C21" s="76"/>
      <x:c r="D21" s="76" t="str">
        <x:v>+2 rare / +3 très rare</x:v>
      </x:c>
      <x:c r="E21" s="76" t="str">
        <x:v>http://dnd5e.wikidot.com/wondrous-items:amulet-of-the-devout</x:v>
      </x:c>
      <x:c r="F21" s="76"/>
      <x:c r="G21" s="76"/>
      <x:c r="H21" s="76" t="str">
        <x:v>attention non cumulable avec effet trident</x:v>
      </x:c>
    </x:row>
    <x:row r="22" ht="24" customHeight="1">
      <x:c r="A22" s="76" t="str">
        <x:v>ceinturon tempete</x:v>
      </x:c>
      <x:c r="B22" s="76" t="str">
        <x:v>oui</x:v>
      </x:c>
      <x:c r="C22" s="76"/>
      <x:c r="D22" s="76" t="str">
        <x:v>legendaire</x:v>
      </x:c>
      <x:c r="E22" s="76" t="str">
        <x:v>http://dnd5e.wikidot.com/wondrous-items:stormgirdle</x:v>
      </x:c>
      <x:c r="F22" s="76"/>
      <x:c r="G22" s="76"/>
      <x:c r="H22" s="76"/>
    </x:row>
    <x:row r="23" ht="24" customHeight="1">
      <x:c r="A23" s="76" t="str">
        <x:v>Anneau de contrôle de l'Air Élémentaire</x:v>
      </x:c>
      <x:c r="B23" s="76" t="str">
        <x:v>oui</x:v>
      </x:c>
      <x:c r="C23" s="76"/>
      <x:c r="D23" s="76" t="str">
        <x:v>legendaire</x:v>
      </x:c>
      <x:c r="E23" s="76" t="str">
        <x:v>https://www.aidedd.org/dnd/om.php?vf=anneau-de-controle-des-elementaires</x:v>
      </x:c>
      <x:c r="F23" s="76"/>
      <x:c r="G23" s="76"/>
      <x:c r="H23" s="76"/>
    </x:row>
    <x:row r="24" ht="24" customHeight="1">
      <x:c r="A24" s="76" t="str">
        <x:v>Vague</x:v>
      </x:c>
      <x:c r="B24" s="76" t="str">
        <x:v>oui</x:v>
      </x:c>
      <x:c r="C24" s="76"/>
      <x:c r="D24" s="76" t="str">
        <x:v>legendaire</x:v>
      </x:c>
      <x:c r="E24" s="76" t="str">
        <x:v>https://www.aidedd.org/dnd/om.php?vf=vague</x:v>
      </x:c>
      <x:c r="F24" s="76"/>
      <x:c r="G24" s="76"/>
      <x:c r="H24" s="76"/>
    </x:row>
    <x:row r="25" ht="24" customHeight="1">
      <x:c r="A25" s="76"/>
      <x:c r="B25" s="76"/>
      <x:c r="C25" s="76"/>
      <x:c r="D25" s="76"/>
      <x:c r="E25" s="76"/>
      <x:c r="F25" s="76"/>
      <x:c r="G25" s="76"/>
      <x:c r="H25" s="76"/>
    </x:row>
    <x:row r="26" ht="24" customHeight="1">
      <x:c r="A26" s="76" t="str">
        <x:v>Amélioration équipement existant</x:v>
      </x:c>
      <x:c r="B26" s="76"/>
      <x:c r="C26" s="76"/>
      <x:c r="D26" s="76"/>
      <x:c r="E26" s="76"/>
      <x:c r="F26" s="76"/>
      <x:c r="G26" s="76"/>
      <x:c r="H26" s="76"/>
    </x:row>
    <x:row r="27" ht="24" customHeight="1">
      <x:c r="A27" s="76" t="str">
        <x:v>+3ifier l'armure</x:v>
      </x:c>
      <x:c r="B27" s="76" t="str">
        <x:v>non</x:v>
      </x:c>
      <x:c r="C27" s="76" t="n">
        <x:v>22950</x:v>
      </x:c>
      <x:c r="D27" s="76"/>
      <x:c r="E27" s="76" t="str">
        <x:v>base</x:v>
      </x:c>
      <x:c r="F27" s="76" t="str">
        <x:v>oui</x:v>
      </x:c>
      <x:c r="G27" s="76" t="n">
        <x:v>17500</x:v>
      </x:c>
      <x:c r="H27" s="76"/>
    </x:row>
    <x:row r="28" ht="24" customHeight="1">
      <x:c r="A28" s="76" t="str">
        <x:v>+3ifier le bouclier</x:v>
      </x:c>
      <x:c r="B28" s="76" t="str">
        <x:v>non</x:v>
      </x:c>
      <x:c r="C28" s="76" t="n">
        <x:v>22950</x:v>
      </x:c>
      <x:c r="D28" s="76"/>
      <x:c r="E28" s="76" t="str">
        <x:v>base</x:v>
      </x:c>
      <x:c r="F28" s="76" t="str">
        <x:v>oui</x:v>
      </x:c>
      <x:c r="G28" s="76" t="n">
        <x:v>0</x:v>
      </x:c>
      <x:c r="H28" s="76"/>
    </x:row>
    <x:row r="29" ht="24" customHeight="1">
      <x:c r="A29" s="76"/>
      <x:c r="B29" s="76"/>
      <x:c r="C29" s="76"/>
      <x:c r="D29" s="76"/>
      <x:c r="E29" s="76"/>
      <x:c r="F29" s="76"/>
      <x:c r="G29" s="76"/>
      <x:c r="H29" s="76"/>
    </x:row>
    <x:row r="30" ht="24" customHeight="1">
      <x:c r="A30" s="76" t="str">
        <x:v>Enchantement équipement existant </x:v>
      </x:c>
      <x:c r="B30" s="76"/>
      <x:c r="C30" s="76"/>
      <x:c r="D30" s="76"/>
      <x:c r="E30" s="76"/>
      <x:c r="F30" s="76"/>
      <x:c r="G30" s="76"/>
      <x:c r="H30" s="76"/>
    </x:row>
    <x:row r="31" ht="24" customHeight="1">
      <x:c r="A31" s="76" t="str">
        <x:v>bouclier gardesort +3 (2 slots pris)</x:v>
      </x:c>
      <x:c r="B31" s="76" t="str">
        <x:v>oui</x:v>
      </x:c>
      <x:c r="C31" s="76" t="n">
        <x:v>41500</x:v>
      </x:c>
      <x:c r="D31" s="76" t="str">
        <x:v>très rare</x:v>
      </x:c>
      <x:c r="E31" s="76" t="str">
        <x:v>https://www.aidedd.org/dnd/om.php?vf=bouclier-gardesort</x:v>
      </x:c>
      <x:c r="F31" s="76" t="str">
        <x:v>oui</x:v>
      </x:c>
      <x:c r="G31" s="76" t="n">
        <x:v>41500</x:v>
      </x:c>
      <x:c r="H31" s="76"/>
    </x:row>
    <x:row r="32" ht="24" customHeight="1">
      <x:c r="A32" s="76"/>
      <x:c r="B32" s="76"/>
      <x:c r="C32" s="76"/>
      <x:c r="D32" s="76"/>
      <x:c r="E32" s="76"/>
      <x:c r="F32" s="76"/>
      <x:c r="G32" s="76"/>
      <x:c r="H32" s="76"/>
    </x:row>
    <x:row r="33" ht="24" customHeight="1">
      <x:c r="A33" s="76"/>
      <x:c r="B33" s="76"/>
      <x:c r="C33" s="76"/>
      <x:c r="D33" s="76"/>
      <x:c r="E33" s="76"/>
      <x:c r="F33" s="76"/>
      <x:c r="G33" s="76"/>
      <x:c r="H33" s="76"/>
    </x:row>
    <x:row r="34" ht="24" customHeight="1">
      <x:c r="A34" s="76"/>
      <x:c r="B34" s="76" t="str">
        <x:v>argent actuel</x:v>
      </x:c>
      <x:c r="C34" s="76" t="n">
        <x:v>71672</x:v>
      </x:c>
      <x:c r="D34" s="76"/>
      <x:c r="E34" s="76"/>
      <x:c r="F34" s="76"/>
      <x:c r="G34" s="76"/>
      <x:c r="H34" s="76"/>
    </x:row>
    <x:row r="35" ht="24" customHeight="1">
      <x:c r="A35" s="76"/>
      <x:c r="B35" s="76" t="str">
        <x:v>total achats</x:v>
      </x:c>
      <x:c r="C35" s="76" t="n">
        <x:v>59000</x:v>
      </x:c>
      <x:c r="D35" s="76"/>
      <x:c r="E35" s="76"/>
      <x:c r="F35" s="76"/>
      <x:c r="G35" s="76"/>
      <x:c r="H35" s="76"/>
    </x:row>
    <x:row r="36" ht="24" customHeight="1">
      <x:c r="A36" s="76"/>
      <x:c r="B36" s="76" t="str">
        <x:v>argent restant</x:v>
      </x:c>
      <x:c r="C36" s="76" t="n">
        <x:v>12672</x:v>
      </x:c>
      <x:c r="D36" s="76"/>
      <x:c r="E36" s="76"/>
      <x:c r="F36" s="76"/>
      <x:c r="G36" s="76"/>
      <x:c r="H36" s="76"/>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t="str">
        <x:v>Améliorations :</x:v>
      </x:c>
      <x:c r="B1" s="41"/>
      <x:c r="C1" s="41"/>
      <x:c r="D1" s="41"/>
      <x:c r="E1" s="41"/>
    </x:row>
    <x:row r="2" ht="24" customHeight="1">
      <x:c r="A2" s="76" t="str">
        <x:v>Objet :</x:v>
      </x:c>
      <x:c r="B2" s="76" t="str">
        <x:v>Amélioration souhaité:</x:v>
      </x:c>
      <x:c r="C2" s="76"/>
      <x:c r="D2" s="76"/>
      <x:c r="E2" s="76"/>
    </x:row>
    <x:row r="3" ht="24" customHeight="1">
      <x:c r="A3" s="76" t="str">
        <x:v>sceptre de défense </x:v>
      </x:c>
      <x:c r="B3" s="76" t="str">
        <x:v>Contre sort</x:v>
      </x:c>
      <x:c r="C3" s="76" t="str">
        <x:v>globle d'invulnérabilité</x:v>
      </x:c>
      <x:c r="D3" s="76"/>
      <x:c r="E3" s="76"/>
    </x:row>
    <x:row r="4" ht="24" customHeight="1">
      <x:c r="A4" s="76" t="str">
        <x:v>Armure de plates en adamantium</x:v>
      </x:c>
      <x:c r="B4" s="76" t="str">
        <x:v>"+1"</x:v>
      </x:c>
      <x:c r="C4" s="76" t="str">
        <x:v>protection contre les armes </x:v>
      </x:c>
      <x:c r="D4" s="76" t="str">
        <x:v>Absorption des éléments</x:v>
      </x:c>
      <x:c r="E4" s="76" t="str">
        <x:v>(le cas échéant un enchantement "cape de déplacement" sans lien)</x:v>
      </x:c>
    </x:row>
    <x:row r="5" ht="24" customHeight="1">
      <x:c r="A5" s="76"/>
      <x:c r="B5" s="76"/>
      <x:c r="C5" s="76" t="str">
        <x:v>Armure lourde discrete ?</x:v>
      </x:c>
      <x:c r="D5" s="76" t="str">
        <x:v>Donne des PV supplementaires temporaire ou max tant que je porte l'armure et se regen une fois par jour au lever du soleil ?</x:v>
      </x:c>
      <x:c r="E5" s="76"/>
    </x:row>
    <x:row r="6" ht="24" customHeight="1">
      <x:c r="A6" s="76"/>
      <x:c r="B6" s="76"/>
      <x:c r="C6" s="76"/>
      <x:c r="D6" s="76"/>
      <x:c r="E6" s="76"/>
    </x:row>
    <x:row r="7" ht="24" customHeight="1">
      <x:c r="A7" s="76" t="str">
        <x:v>Questions : </x:v>
      </x:c>
      <x:c r="B7" s="76" t="str">
        <x:v>Protection contre les armes (niveau 0) et Absorption des éléments (Niveau 1) sont des sort actif et ne peuvent pas être lancer en réaction initialement, Si j'ajoute ces sorts sur l'armure, fonctionnera-t-elel comme mon sceptre avec des charges ou en passif ?</x:v>
      </x:c>
      <x:c r="C7" s="76"/>
      <x:c r="D7" s="76"/>
      <x:c r="E7" s="76"/>
    </x:row>
    <x:row r="8" ht="24" customHeight="1">
      <x:c r="A8" s="76"/>
      <x:c r="B8" s="76" t="str">
        <x:v>Est-il possible de faire d'un sort actif un enchantement passif ?</x:v>
      </x:c>
      <x:c r="C8" s="76"/>
      <x:c r="D8" s="76"/>
      <x:c r="E8" s="76"/>
    </x:row>
    <x:row r="9" ht="24" customHeight="1">
      <x:c r="A9" s="76"/>
      <x:c r="B9" s="76" t="str">
        <x:v>Si on enchante un objet avec un sort provenant d'un objet nécessitant un lien, l'enchantemant aussi doit être lié?</x:v>
      </x:c>
      <x:c r="C9" s="76"/>
      <x:c r="D9" s="76"/>
      <x:c r="E9" s="76"/>
    </x:row>
    <x:row r="10" ht="24" customHeight="1">
      <x:c r="A10" s="76"/>
      <x:c r="B10" s="76"/>
      <x:c r="C10" s="76"/>
      <x:c r="D10" s="76"/>
      <x:c r="E10" s="76"/>
    </x:row>
    <x:row r="11" ht="24" customHeight="1">
      <x:c r="A11" s="76" t="str">
        <x:v>En cours de recherche :</x:v>
      </x:c>
      <x:c r="B11" s="76" t="str">
        <x:v>Arme "vampirique" qui vole les points de vie lorsqu'il fait des dégats pour le combiner à mon amulette de cicatrisation qui double ma régène de point de vie à chaque fois que je me soigne</x:v>
      </x:c>
      <x:c r="C11" s="76"/>
      <x:c r="D11" s="76"/>
      <x:c r="E11" s="76"/>
    </x:row>
    <x:row r="12" ht="24" customHeight="1">
      <x:c r="A12" s="76"/>
      <x:c r="B12" s="76"/>
      <x:c r="C12" s="76"/>
      <x:c r="D12" s="76"/>
      <x:c r="E12" s="76"/>
    </x:row>
    <x:row r="13" ht="24" customHeight="1">
      <x:c r="A13" s="76" t="str">
        <x:v>Objet :</x:v>
      </x:c>
      <x:c r="B13" s="76" t="str">
        <x:v>Type</x:v>
      </x:c>
      <x:c r="C13" s="76" t="str">
        <x:v>Lien</x:v>
      </x:c>
      <x:c r="D13" s="76" t="str">
        <x:v>Prix?</x:v>
      </x:c>
      <x:c r="E13" s="76"/>
    </x:row>
    <x:row r="14" ht="24" customHeight="1">
      <x:c r="A14" s="76" t="str">
        <x:v>Cape de déplacement</x:v>
      </x:c>
      <x:c r="B14" s="76" t="str">
        <x:v>Merveilleux</x:v>
      </x:c>
      <x:c r="C14" s="76" t="str">
        <x:v>Oui</x:v>
      </x:c>
      <x:c r="D14" s="76"/>
      <x:c r="E14" s="76"/>
    </x:row>
    <x:row r="15" ht="24" customHeight="1">
      <x:c r="A15" s="76" t="str">
        <x:v>Sac à malice (rouille ou ocre)</x:v>
      </x:c>
      <x:c r="B15" s="76" t="str">
        <x:v>Merveilleux</x:v>
      </x:c>
      <x:c r="C15" s="76"/>
      <x:c r="D15" s="76"/>
      <x:c r="E15" s="76"/>
    </x:row>
  </x:sheetData>
  <x:pageMargins left="0.7" right="0.7" top="0.75" bottom="0.75" header="0.3" footer="0.3"/>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20" hidden="0" customWidth="1"/>
    <x:col min="3" max="3" width="22" hidden="0" customWidth="1"/>
    <x:col min="4" max="4" width="16" hidden="0" customWidth="1"/>
    <x:col min="5" max="5" width="29" hidden="0" customWidth="1"/>
    <x:col min="6" max="6" width="28" hidden="0" customWidth="1"/>
    <x:col min="7" max="7" width="44" hidden="0" customWidth="1"/>
    <x:col min="8" max="8" width="27" hidden="0" customWidth="1"/>
  </x:cols>
  <x:sheetData>
    <x:row r="1" ht="34" customHeight="1">
      <x:c r="A1" s="87" t="str">
        <x:v>RÉFÉRENTIEL — propriétés d'enchantement adaptées pour D&amp;D 5e</x:v>
      </x:c>
      <x:c r="B1" s="87"/>
      <x:c r="C1" s="87"/>
      <x:c r="D1" s="87"/>
      <x:c r="E1" s="87"/>
      <x:c r="F1" s="87"/>
      <x:c r="G1" s="87"/>
      <x:c r="H1" s="87"/>
    </x:row>
    <x:row r="2" ht="30" customHeight="1">
      <x:c r="A2" s="90" t="str">
        <x:v>Chaque propriété consomme des slots de la capacité d'enchantement ; une arme +B peut utiliser au maximum B slots. Les équivalences sont celles de notre adaptation D&amp;D 5e, non de D&amp;D 3.5.</x:v>
      </x:c>
      <x:c r="B2" s="90"/>
      <x:c r="C2" s="90"/>
      <x:c r="D2" s="90"/>
      <x:c r="E2" s="90"/>
      <x:c r="F2" s="90"/>
      <x:c r="G2" s="90"/>
      <x:c r="H2" s="90"/>
    </x:row>
    <x:row r="4" ht="28" customHeight="1">
      <x:c r="A4" s="94" t="str">
        <x:v>Propriété</x:v>
      </x:c>
      <x:c r="B4" s="94" t="str">
        <x:v>Slots consommés (+)</x:v>
      </x:c>
      <x:c r="C4" s="94" t="str">
        <x:v>État</x:v>
      </x:c>
      <x:c r="D4" s="94" t="str">
        <x:v>Catégorie</x:v>
      </x:c>
      <x:c r="E4" s="94" t="str">
        <x:v>Effet mécanique 5e</x:v>
      </x:c>
      <x:c r="F4" s="94" t="str">
        <x:v>Source</x:v>
      </x:c>
      <x:c r="G4" s="94" t="str">
        <x:v>Points à confirmer</x:v>
      </x:c>
      <x:c r="H4" s="94" t="str">
        <x:v>Exemple</x:v>
      </x:c>
    </x:row>
    <x:row r="5" ht="50" customHeight="1">
      <x:c r="A5" s="95" t="str">
        <x:v>Feu</x:v>
      </x:c>
      <x:c r="B5" s="99" t="n">
        <x:v>1</x:v>
      </x:c>
      <x:c r="C5" s="95" t="str">
        <x:v>Exemple source</x:v>
      </x:c>
      <x:c r="D5" s="95" t="str">
        <x:v>Arme</x:v>
      </x:c>
      <x:c r="E5" s="95" t="str">
        <x:v>À définir explicitement</x:v>
      </x:c>
      <x:c r="F5" s="95" t="str">
        <x:v>Règles!A21:B21</x:v>
      </x:c>
      <x:c r="G5" s="95" t="str">
        <x:v>Dés, type et activation</x:v>
      </x:c>
      <x:c r="H5" s="95" t="str">
        <x:v>Arme +1 avec feu (+1)</x:v>
      </x:c>
    </x:row>
    <x:row r="6" ht="50" customHeight="1">
      <x:c r="A6" s="95" t="str">
        <x:v>Sournoise</x:v>
      </x:c>
      <x:c r="B6" s="99" t="n">
        <x:v>1</x:v>
      </x:c>
      <x:c r="C6" s="95" t="str">
        <x:v>Confirmé pour l'exemple</x:v>
      </x:c>
      <x:c r="D6" s="95" t="str">
        <x:v>Arc/arme</x:v>
      </x:c>
      <x:c r="E6" s="95" t="str">
        <x:v>À adapter depuis 3.5</x:v>
      </x:c>
      <x:c r="F6" s="95" t="str">
        <x:v>Règles!A24:B24</x:v>
      </x:c>
      <x:c r="G6" s="95" t="str">
        <x:v>Condition d'activation, dégâts additionnels</x:v>
      </x:c>
      <x:c r="H6" s="95" t="str">
        <x:v>Arc +2 sournois frugale</x:v>
      </x:c>
    </x:row>
    <x:row r="7" ht="50" customHeight="1">
      <x:c r="A7" s="95" t="str">
        <x:v>Frugale</x:v>
      </x:c>
      <x:c r="B7" s="99" t="n">
        <x:v>1</x:v>
      </x:c>
      <x:c r="C7" s="95" t="str">
        <x:v>Confirmé par le MJ</x:v>
      </x:c>
      <x:c r="D7" s="95" t="str">
        <x:v>Arc/arme</x:v>
      </x:c>
      <x:c r="E7" s="95" t="str">
        <x:v>À adapter depuis 3.5</x:v>
      </x:c>
      <x:c r="F7" s="95" t="str">
        <x:v>Décision MJ 22/10/2026</x:v>
      </x:c>
      <x:c r="G7" s="95" t="str">
        <x:v>Effet exact, consommation de munitions</x:v>
      </x:c>
      <x:c r="H7" s="95" t="str">
        <x:v>Arc +2 sournois frugale</x:v>
      </x:c>
    </x:row>
    <x:row r="8" ht="50" customHeight="1">
      <x:c r="A8" s="95" t="str">
        <x:v>Gardesort</x:v>
      </x:c>
      <x:c r="B8" s="99"/>
      <x:c r="C8" s="95" t="str">
        <x:v>À définir</x:v>
      </x:c>
      <x:c r="D8" s="95" t="str">
        <x:v>Bouclier</x:v>
      </x:c>
      <x:c r="E8" s="95" t="str">
        <x:v>À documenter</x:v>
      </x:c>
      <x:c r="F8" s="95" t="str">
        <x:v>Flo!A31:G31</x:v>
      </x:c>
      <x:c r="G8" s="95" t="str">
        <x:v>Équivalence non validée ; +2 utilisé comme hypothèse dans un devis</x:v>
      </x:c>
      <x:c r="H8" s="95" t="str">
        <x:v>Bouclier +3 gardesort</x:v>
      </x:c>
    </x:row>
    <x:row r="9" ht="50" customHeight="1">
      <x:c r="A9" s="95" t="str">
        <x:v>Esquive</x:v>
      </x:c>
      <x:c r="B9" s="99"/>
      <x:c r="C9" s="95" t="str">
        <x:v>À définir</x:v>
      </x:c>
      <x:c r="D9" s="95" t="str">
        <x:v>Armure</x:v>
      </x:c>
      <x:c r="E9" s="95" t="str">
        <x:v>À documenter</x:v>
      </x:c>
      <x:c r="F9" s="95" t="str">
        <x:v>Thibault!A7:F7</x:v>
      </x:c>
      <x:c r="G9" s="95" t="str">
        <x:v>Adaptation 5e et valeur d'enchantement</x:v>
      </x:c>
      <x:c r="H9" s="95" t="str">
        <x:v>Cuir clouté +1 d'esquive</x:v>
      </x:c>
    </x:row>
    <x:row r="11" ht="26" customHeight="1">
      <x:c r="A11" s="97" t="str">
        <x:v>Une propriété +1 consomme 1 slot, une propriété +2 en consomme 2. Somme des slots des effets ≤ bonus réel de l'arme. Les slots ne sont PAS le niveau du coût triangulaire.</x:v>
      </x:c>
      <x:c r="B11" s="97"/>
      <x:c r="C11" s="97"/>
      <x:c r="D11" s="97"/>
      <x:c r="E11" s="97"/>
      <x:c r="F11" s="97"/>
      <x:c r="G11" s="97"/>
      <x:c r="H11" s="97"/>
    </x:row>
    <x:row r="12" ht="26" customHeight="1">
      <x:c r="A12" s="97" t="str">
        <x:v>Arc +2 : capacité 2 slots, Sournoise +1 + Frugale +1 = 2 utilisés ; niveau du coût 3 + 2 = 5 → 25 000 po.</x:v>
      </x:c>
      <x:c r="B12" s="97"/>
      <x:c r="C12" s="97"/>
      <x:c r="D12" s="97"/>
      <x:c r="E12" s="97"/>
      <x:c r="F12" s="97"/>
      <x:c r="G12" s="97"/>
      <x:c r="H12" s="97"/>
    </x:row>
  </x:sheetData>
  <x:mergeCells>
    <x:mergeCell ref="A1:H1"/>
    <x:mergeCell ref="A2:H2"/>
    <x:mergeCell ref="A11:H11"/>
    <x:mergeCell ref="A12:H12"/>
  </x:mergeCells>
  <x:pageMargins left="0.7" right="0.7" top="0.75" bottom="0.75" header="0.3" footer="0.3"/>
</x:worksheet>
</file>

<file path=xl/worksheets/sheet14.xml><?xml version="1.0" encoding="utf-8"?>
<x:worksheet xmlns:x="http://schemas.openxmlformats.org/spreadsheetml/2006/main">
  <x:sheetViews>
    <x:sheetView workbookViewId="0">
      <x:pane ySplit="19" topLeftCell="A20" activePane="bottomLeft" state="frozen"/>
    </x:sheetView>
  </x:sheetViews>
  <x:sheetFormatPr defaultRowHeight="15"/>
  <x:cols>
    <x:col min="1" max="1" width="19" hidden="0" customWidth="1"/>
    <x:col min="2" max="2" width="39" hidden="0" customWidth="1"/>
    <x:col min="3" max="3" width="13" hidden="0" customWidth="1"/>
    <x:col min="4" max="4" width="20" hidden="0" customWidth="1"/>
    <x:col min="5" max="5" width="19" hidden="0" customWidth="1"/>
    <x:col min="6" max="6" width="18" hidden="0" customWidth="1"/>
    <x:col min="7" max="7" width="22" hidden="0" customWidth="1"/>
    <x:col min="8" max="8" width="21" hidden="0" customWidth="1"/>
    <x:col min="9" max="9" width="20" hidden="0" customWidth="1"/>
    <x:col min="10" max="10" width="23" hidden="0" customWidth="1"/>
    <x:col min="11" max="11" width="17" hidden="0" customWidth="1"/>
    <x:col min="12" max="12" width="60" hidden="0" customWidth="1"/>
  </x:cols>
  <x:sheetData>
    <x:row r="1" ht="35" customHeight="1">
      <x:c r="A1" s="195" t="str">
        <x:v>ARCHIVE — ANCIENNE SIMULATION DE PRIX (DÉPASSÉE)</x:v>
      </x:c>
      <x:c r="B1" s="107"/>
      <x:c r="C1" s="107"/>
      <x:c r="D1" s="107"/>
      <x:c r="E1" s="107"/>
      <x:c r="F1" s="107"/>
      <x:c r="G1" s="107"/>
      <x:c r="H1" s="107"/>
      <x:c r="I1" s="107"/>
      <x:c r="J1" s="107"/>
      <x:c r="K1" s="107"/>
      <x:c r="L1" s="107"/>
    </x:row>
    <x:row r="2" ht="28" customHeight="1">
      <x:c r="A2" s="111" t="str">
        <x:v>Conservée pour rétro-comparaison des anciens prix. Ne pas utiliser pour établir les nouveaux devis : voir « 09 - Plafonds et aleas ».</x:v>
      </x:c>
      <x:c r="B2" s="111"/>
      <x:c r="C2" s="111"/>
      <x:c r="D2" s="111"/>
      <x:c r="E2" s="111"/>
      <x:c r="F2" s="111"/>
      <x:c r="G2" s="111"/>
      <x:c r="H2" s="111"/>
      <x:c r="I2" s="111"/>
      <x:c r="J2" s="111"/>
      <x:c r="K2" s="111"/>
      <x:c r="L2" s="111"/>
    </x:row>
    <x:row r="4" ht="27" customHeight="1">
      <x:c r="A4" s="114" t="str">
        <x:v>ACHATS — bornes par rareté</x:v>
      </x:c>
      <x:c r="B4" s="114"/>
      <x:c r="C4" s="114"/>
      <x:c r="D4" s="114"/>
      <x:c r="G4" s="114" t="str">
        <x:v>FORGE — tirage du marché</x:v>
      </x:c>
      <x:c r="H4" s="114"/>
      <x:c r="I4" s="114"/>
      <x:c r="J4" s="114"/>
    </x:row>
    <x:row r="5" ht="31" customHeight="1">
      <x:c r="A5" s="117" t="str">
        <x:v>Rareté</x:v>
      </x:c>
      <x:c r="B5" s="117" t="str">
        <x:v>Minimum (po)</x:v>
      </x:c>
      <x:c r="C5" s="117" t="str">
        <x:v>Maximum (po)</x:v>
      </x:c>
      <x:c r="D5" s="117" t="str">
        <x:v>Provenance</x:v>
      </x:c>
      <x:c r="G5" t="str">
        <x:v>Socle fixe (%)</x:v>
      </x:c>
      <x:c r="H5" s="119" t="n">
        <x:v>70</x:v>
      </x:c>
    </x:row>
    <x:row r="6" ht="25" customHeight="1">
      <x:c r="A6" s="76" t="str">
        <x:v>Commun</x:v>
      </x:c>
      <x:c r="B6" s="145" t="n">
        <x:v>50</x:v>
      </x:c>
      <x:c r="C6" s="145" t="n">
        <x:v>100</x:v>
      </x:c>
      <x:c r="D6" s="76" t="str">
        <x:v>Fourchette trouvée chez Thaïs</x:v>
      </x:c>
      <x:c r="G6" t="str">
        <x:v>Pourcentage par point du d20</x:v>
      </x:c>
      <x:c r="H6" s="119" t="n">
        <x:v>3</x:v>
      </x:c>
    </x:row>
    <x:row r="7" ht="25" customHeight="1">
      <x:c r="A7" s="76" t="str">
        <x:v>Peu commun</x:v>
      </x:c>
      <x:c r="B7" s="148" t="n">
        <x:f>'02 - Barème'!B31</x:f>
        <x:v>100</x:v>
      </x:c>
      <x:c r="C7" s="148" t="n">
        <x:f>'02 - Barème'!C31</x:f>
        <x:v>500</x:v>
      </x:c>
      <x:c r="D7" s="76" t="str">
        <x:v>Règles (2014/maison)</x:v>
      </x:c>
      <x:c r="G7" t="str">
        <x:v>Jet minimum</x:v>
      </x:c>
      <x:c r="H7" s="119" t="n">
        <x:v>1</x:v>
      </x:c>
    </x:row>
    <x:row r="8" ht="25" customHeight="1">
      <x:c r="A8" s="76" t="str">
        <x:v>Rare</x:v>
      </x:c>
      <x:c r="B8" s="148" t="n">
        <x:f>'02 - Barème'!B32</x:f>
        <x:v>500</x:v>
      </x:c>
      <x:c r="C8" s="148" t="n">
        <x:f>'02 - Barème'!C32</x:f>
        <x:v>5000</x:v>
      </x:c>
      <x:c r="D8" s="76" t="str">
        <x:v>Règles (2014/maison)</x:v>
      </x:c>
      <x:c r="G8" t="str">
        <x:v>Jet maximum</x:v>
      </x:c>
      <x:c r="H8" s="119" t="n">
        <x:v>20</x:v>
      </x:c>
    </x:row>
    <x:row r="9" ht="25" customHeight="1">
      <x:c r="A9" s="76" t="str">
        <x:v>Très rare</x:v>
      </x:c>
      <x:c r="B9" s="148" t="n">
        <x:f>'02 - Barème'!B33</x:f>
        <x:v>5000</x:v>
      </x:c>
      <x:c r="C9" s="148" t="n">
        <x:f>'02 - Barème'!C33</x:f>
        <x:v>50000</x:v>
      </x:c>
      <x:c r="D9" s="76" t="str">
        <x:v>Règles (2014/maison)</x:v>
      </x:c>
      <x:c r="G9" t="str">
        <x:v>Conjoncture de la ville (+/- %)</x:v>
      </x:c>
      <x:c r="H9" s="133" t="n">
        <x:v>0</x:v>
      </x:c>
    </x:row>
    <x:row r="10" ht="25" customHeight="1">
      <x:c r="A10" s="76" t="str">
        <x:v>Légendaire</x:v>
      </x:c>
      <x:c r="B10" s="76"/>
      <x:c r="C10" s="76"/>
      <x:c r="D10" s="76" t="str">
        <x:v>Négociation MJ / hors grille</x:v>
      </x:c>
      <x:c r="G10" t="str">
        <x:v>Arrondi souhaité (po)</x:v>
      </x:c>
      <x:c r="H10" s="119" t="n">
        <x:v>1</x:v>
      </x:c>
    </x:row>
    <x:row r="12" ht="27" customHeight="1">
      <x:c r="A12" s="114" t="str">
        <x:v>RÈGLES DES CALCULS</x:v>
      </x:c>
      <x:c r="B12" s="114"/>
      <x:c r="C12" s="114"/>
      <x:c r="D12" s="114"/>
      <x:c r="E12" s="114"/>
      <x:c r="F12" s="114"/>
      <x:c r="G12" s="76" t="str">
        <x:v>Exemples étudiés</x:v>
      </x:c>
      <x:c r="H12" s="123" t="n">
        <x:f>COUNTA(A31:A40)</x:f>
        <x:v>10</x:v>
      </x:c>
    </x:row>
    <x:row r="13" ht="25" customHeight="1">
      <x:c r="A13" s="76" t="str">
        <x:v>Achat : prix min + (max – min) × (d20 – 1) / 19.</x:v>
      </x:c>
      <x:c r="B13" s="76"/>
      <x:c r="C13" s="76"/>
      <x:c r="D13" s="76"/>
      <x:c r="E13" s="76"/>
      <x:c r="F13" s="76"/>
      <x:c r="G13" s="76" t="str">
        <x:v>Écart moyen absolu (po)</x:v>
      </x:c>
      <x:c r="H13" s="134" t="n">
        <x:f>ROUND(AVERAGE(J31:J40),0)</x:f>
        <x:v>45</x:v>
      </x:c>
    </x:row>
    <x:row r="14" ht="25" customHeight="1">
      <x:c r="A14" s="76" t="str">
        <x:v>Forge : coût différentiel × (socle % + % par d20) + forfait fixe.</x:v>
      </x:c>
      <x:c r="B14" s="76"/>
      <x:c r="C14" s="76"/>
      <x:c r="D14" s="76"/>
      <x:c r="E14" s="76"/>
      <x:c r="F14" s="76"/>
      <x:c r="G14" s="76" t="str">
        <x:v>Écart maximal (po)</x:v>
      </x:c>
      <x:c r="H14" s="134" t="n">
        <x:f>MAX(J31:J40)</x:f>
        <x:v>156</x:v>
      </x:c>
    </x:row>
    <x:row r="15" ht="27" customHeight="1">
      <x:c r="A15" s="76" t="str">
        <x:v>Conjoncture commune (+/- %) appliquée AVANT le forfait. Jet saisi = stable.</x:v>
      </x:c>
      <x:c r="B15" s="76"/>
      <x:c r="C15" s="76"/>
      <x:c r="D15" s="76"/>
      <x:c r="E15" s="76"/>
      <x:c r="F15" s="76"/>
      <x:c r="G15" s="128" t="str">
        <x:v>Jets anciens inconnus : la reconstitution est indicative.</x:v>
      </x:c>
      <x:c r="H15" s="128"/>
      <x:c r="I15" s="128"/>
      <x:c r="J15" s="128"/>
      <x:c r="K15" s="128"/>
      <x:c r="L15" s="128"/>
    </x:row>
    <x:row r="16" ht="27" customHeight="1">
      <x:c r="A16" s="76" t="str">
        <x:v>Pas de tirages automatiques : saisir un dé réel ou RANDBETWEEN(1,20).</x:v>
      </x:c>
      <x:c r="B16" s="76"/>
      <x:c r="C16" s="76"/>
      <x:c r="D16" s="76"/>
      <x:c r="E16" s="76"/>
      <x:c r="F16" s="76"/>
      <x:c r="G16" s="128" t="str">
        <x:v>Contrôler les devis personnalisés avant validation MJ.</x:v>
      </x:c>
      <x:c r="H16" s="128"/>
      <x:c r="I16" s="128"/>
      <x:c r="J16" s="128"/>
      <x:c r="K16" s="128"/>
      <x:c r="L16" s="128"/>
    </x:row>
    <x:row r="18" ht="27" customHeight="1">
      <x:c r="A18" s="114" t="str">
        <x:v>SIMULATEUR — MODIFIER LE d20 (colonne F), la rareté ou le coût de forge (colonne D)</x:v>
      </x:c>
      <x:c r="B18" s="114"/>
      <x:c r="C18" s="114"/>
      <x:c r="D18" s="114"/>
      <x:c r="E18" s="114"/>
      <x:c r="F18" s="114"/>
      <x:c r="G18" s="114"/>
      <x:c r="H18" s="114"/>
      <x:c r="I18" s="114"/>
      <x:c r="J18" s="114"/>
      <x:c r="K18" s="114"/>
      <x:c r="L18" s="114"/>
    </x:row>
    <x:row r="19" ht="26" customHeight="1">
      <x:c r="A19" s="117" t="str">
        <x:v>Type</x:v>
      </x:c>
      <x:c r="B19" s="117" t="str">
        <x:v>Objet / opération</x:v>
      </x:c>
      <x:c r="C19" s="117" t="str">
        <x:v>Rareté</x:v>
      </x:c>
      <x:c r="D19" s="117" t="str">
        <x:v>Base forge (po)</x:v>
      </x:c>
      <x:c r="E19" s="117" t="str">
        <x:v>Forfait fixe (po)</x:v>
      </x:c>
      <x:c r="F19" s="117" t="str">
        <x:v>Jet d20</x:v>
      </x:c>
      <x:c r="G19" s="117" t="str">
        <x:v>Prix simulé (po)</x:v>
      </x:c>
      <x:c r="H19" s="117" t="str">
        <x:v>Minimum (po)</x:v>
      </x:c>
      <x:c r="I19" s="117" t="str">
        <x:v>Maximum (po)</x:v>
      </x:c>
      <x:c r="J19" s="117" t="str">
        <x:v>Contexte</x:v>
      </x:c>
    </x:row>
    <x:row r="20" ht="26" customHeight="1">
      <x:c r="A20" s="143" t="str">
        <x:v>Achat</x:v>
      </x:c>
      <x:c r="B20" s="143" t="str">
        <x:v>Cape de déplacement</x:v>
      </x:c>
      <x:c r="C20" s="143" t="str">
        <x:v>Rare</x:v>
      </x:c>
      <x:c r="D20" s="144"/>
      <x:c r="E20" s="145" t="n">
        <x:v>0</x:v>
      </x:c>
      <x:c r="F20" s="146" t="n">
        <x:v>8</x:v>
      </x:c>
      <x:c r="G20" s="147" t="n">
        <x:f>IF(IF(A20="Achat",OR(C20="",F20=""),OR(D20="",F20="")),"",ROUND((IF(A20="Achat",(INDEX($B$6:$B$10,MATCH(C20,$A$6:$A$10,0))+(INDEX($C$6:$C$10,MATCH(C20,$A$6:$A$10,0))-INDEX($B$6:$B$10,MATCH(C20,$A$6:$A$10,0)))*(F20-$H$7)/($H$8-$H$7)),(D20*($H$5+$H$6*F20)/100))*(1+$H$9)+E20)/$H$10,0)*$H$10)</x:f>
        <x:v>2158</x:v>
      </x:c>
      <x:c r="H20" s="147" t="n">
        <x:f>IF(IF(A20="Achat",OR(C20="",F20=""),OR(D20="",F20="")),"",ROUND((IF(A20="Achat",INDEX($B$6:$B$10,MATCH(C20,$A$6:$A$10,0)),D20*($H$5+$H$6*$H$7)/100)*(1+$H$9)+E20)/$H$10,0)*$H$10)</x:f>
        <x:v>500</x:v>
      </x:c>
      <x:c r="I20" s="147" t="n">
        <x:f>IF(IF(A20="Achat",OR(C20="",F20=""),OR(D20="",F20="")),"",ROUND((IF(A20="Achat",INDEX($C$6:$C$10,MATCH(C20,$A$6:$A$10,0)),D20*($H$5+$H$6*$H$8)/100)*(1+$H$9)+E20)/$H$10,0)*$H$10)</x:f>
        <x:v>5000</x:v>
      </x:c>
      <x:c r="J20" s="142" t="str">
        <x:v>Objet catalogue</x:v>
      </x:c>
    </x:row>
    <x:row r="21" ht="26" customHeight="1">
      <x:c r="A21" s="76" t="str">
        <x:v>Achat</x:v>
      </x:c>
      <x:c r="B21" s="76" t="str">
        <x:v>Anneau de stockage de sorts</x:v>
      </x:c>
      <x:c r="C21" s="76" t="str">
        <x:v>Rare</x:v>
      </x:c>
      <x:c r="D21" s="148"/>
      <x:c r="E21" s="145" t="n">
        <x:v>0</x:v>
      </x:c>
      <x:c r="F21" s="146" t="n">
        <x:v>16</x:v>
      </x:c>
      <x:c r="G21" s="147" t="n">
        <x:f>IF(IF(A21="Achat",OR(C21="",F21=""),OR(D21="",F21="")),"",ROUND((IF(A21="Achat",(INDEX($B$6:$B$10,MATCH(C21,$A$6:$A$10,0))+(INDEX($C$6:$C$10,MATCH(C21,$A$6:$A$10,0))-INDEX($B$6:$B$10,MATCH(C21,$A$6:$A$10,0)))*(F21-$H$7)/($H$8-$H$7)),(D21*($H$5+$H$6*F21)/100))*(1+$H$9)+E21)/$H$10,0)*$H$10)</x:f>
        <x:v>4053</x:v>
      </x:c>
      <x:c r="H21" s="147" t="n">
        <x:f>IF(IF(A21="Achat",OR(C21="",F21=""),OR(D21="",F21="")),"",ROUND((IF(A21="Achat",INDEX($B$6:$B$10,MATCH(C21,$A$6:$A$10,0)),D21*($H$5+$H$6*$H$7)/100)*(1+$H$9)+E21)/$H$10,0)*$H$10)</x:f>
        <x:v>500</x:v>
      </x:c>
      <x:c r="I21" s="147" t="n">
        <x:f>IF(IF(A21="Achat",OR(C21="",F21=""),OR(D21="",F21="")),"",ROUND((IF(A21="Achat",INDEX($C$6:$C$10,MATCH(C21,$A$6:$A$10,0)),D21*($H$5+$H$6*$H$8)/100)*(1+$H$9)+E21)/$H$10,0)*$H$10)</x:f>
        <x:v>5000</x:v>
      </x:c>
      <x:c r="J21" s="95" t="str">
        <x:v>Objet catalogue</x:v>
      </x:c>
    </x:row>
    <x:row r="22" ht="26" customHeight="1">
      <x:c r="A22" s="143" t="str">
        <x:v>Achat</x:v>
      </x:c>
      <x:c r="B22" s="143" t="str">
        <x:v>Sac sans fond</x:v>
      </x:c>
      <x:c r="C22" s="143" t="str">
        <x:v>Peu commun</x:v>
      </x:c>
      <x:c r="D22" s="144"/>
      <x:c r="E22" s="145" t="n">
        <x:v>0</x:v>
      </x:c>
      <x:c r="F22" s="146" t="n">
        <x:v>15</x:v>
      </x:c>
      <x:c r="G22" s="147" t="n">
        <x:f>IF(IF(A22="Achat",OR(C22="",F22=""),OR(D22="",F22="")),"",ROUND((IF(A22="Achat",(INDEX($B$6:$B$10,MATCH(C22,$A$6:$A$10,0))+(INDEX($C$6:$C$10,MATCH(C22,$A$6:$A$10,0))-INDEX($B$6:$B$10,MATCH(C22,$A$6:$A$10,0)))*(F22-$H$7)/($H$8-$H$7)),(D22*($H$5+$H$6*F22)/100))*(1+$H$9)+E22)/$H$10,0)*$H$10)</x:f>
        <x:v>395</x:v>
      </x:c>
      <x:c r="H22" s="147" t="n">
        <x:f>IF(IF(A22="Achat",OR(C22="",F22=""),OR(D22="",F22="")),"",ROUND((IF(A22="Achat",INDEX($B$6:$B$10,MATCH(C22,$A$6:$A$10,0)),D22*($H$5+$H$6*$H$7)/100)*(1+$H$9)+E22)/$H$10,0)*$H$10)</x:f>
        <x:v>100</x:v>
      </x:c>
      <x:c r="I22" s="147" t="n">
        <x:f>IF(IF(A22="Achat",OR(C22="",F22=""),OR(D22="",F22="")),"",ROUND((IF(A22="Achat",INDEX($C$6:$C$10,MATCH(C22,$A$6:$A$10,0)),D22*($H$5+$H$6*$H$8)/100)*(1+$H$9)+E22)/$H$10,0)*$H$10)</x:f>
        <x:v>500</x:v>
      </x:c>
      <x:c r="J22" s="142" t="str">
        <x:v>Objet catalogue</x:v>
      </x:c>
    </x:row>
    <x:row r="23" ht="26" customHeight="1">
      <x:c r="A23" s="76" t="str">
        <x:v>Achat</x:v>
      </x:c>
      <x:c r="B23" s="76" t="str">
        <x:v>Objet très rare à rechercher</x:v>
      </x:c>
      <x:c r="C23" s="76" t="str">
        <x:v>Très rare</x:v>
      </x:c>
      <x:c r="D23" s="148"/>
      <x:c r="E23" s="145" t="n">
        <x:v>0</x:v>
      </x:c>
      <x:c r="F23" s="146" t="n">
        <x:v>12</x:v>
      </x:c>
      <x:c r="G23" s="147" t="n">
        <x:f>IF(IF(A23="Achat",OR(C23="",F23=""),OR(D23="",F23="")),"",ROUND((IF(A23="Achat",(INDEX($B$6:$B$10,MATCH(C23,$A$6:$A$10,0))+(INDEX($C$6:$C$10,MATCH(C23,$A$6:$A$10,0))-INDEX($B$6:$B$10,MATCH(C23,$A$6:$A$10,0)))*(F23-$H$7)/($H$8-$H$7)),(D23*($H$5+$H$6*F23)/100))*(1+$H$9)+E23)/$H$10,0)*$H$10)</x:f>
        <x:v>31053</x:v>
      </x:c>
      <x:c r="H23" s="147" t="n">
        <x:f>IF(IF(A23="Achat",OR(C23="",F23=""),OR(D23="",F23="")),"",ROUND((IF(A23="Achat",INDEX($B$6:$B$10,MATCH(C23,$A$6:$A$10,0)),D23*($H$5+$H$6*$H$7)/100)*(1+$H$9)+E23)/$H$10,0)*$H$10)</x:f>
        <x:v>5000</x:v>
      </x:c>
      <x:c r="I23" s="147" t="n">
        <x:f>IF(IF(A23="Achat",OR(C23="",F23=""),OR(D23="",F23="")),"",ROUND((IF(A23="Achat",INDEX($C$6:$C$10,MATCH(C23,$A$6:$A$10,0)),D23*($H$5+$H$6*$H$8)/100)*(1+$H$9)+E23)/$H$10,0)*$H$10)</x:f>
        <x:v>50000</x:v>
      </x:c>
      <x:c r="J23" s="95" t="str">
        <x:v>Objet catalogue</x:v>
      </x:c>
    </x:row>
    <x:row r="24" ht="26" customHeight="1">
      <x:c r="A24" s="143" t="str">
        <x:v>Forge</x:v>
      </x:c>
      <x:c r="B24" s="143" t="str">
        <x:v>Arme +1 → +2</x:v>
      </x:c>
      <x:c r="C24" s="143"/>
      <x:c r="D24" s="144" t="n">
        <x:f>'03 - Devis forge'!K9</x:f>
        <x:v>8000</x:v>
      </x:c>
      <x:c r="E24" s="145" t="n">
        <x:v>0</x:v>
      </x:c>
      <x:c r="F24" s="146" t="n">
        <x:v>10</x:v>
      </x:c>
      <x:c r="G24" s="147" t="n">
        <x:f>IF(IF(A24="Achat",OR(C24="",F24=""),OR(D24="",F24="")),"",ROUND((IF(A24="Achat",(INDEX($B$6:$B$10,MATCH(C24,$A$6:$A$10,0))+(INDEX($C$6:$C$10,MATCH(C24,$A$6:$A$10,0))-INDEX($B$6:$B$10,MATCH(C24,$A$6:$A$10,0)))*(F24-$H$7)/($H$8-$H$7)),(D24*($H$5+$H$6*F24)/100))*(1+$H$9)+E24)/$H$10,0)*$H$10)</x:f>
        <x:v>8000</x:v>
      </x:c>
      <x:c r="H24" s="147" t="n">
        <x:f>IF(IF(A24="Achat",OR(C24="",F24=""),OR(D24="",F24="")),"",ROUND((IF(A24="Achat",INDEX($B$6:$B$10,MATCH(C24,$A$6:$A$10,0)),D24*($H$5+$H$6*$H$7)/100)*(1+$H$9)+E24)/$H$10,0)*$H$10)</x:f>
        <x:v>5840</x:v>
      </x:c>
      <x:c r="I24" s="147" t="n">
        <x:f>IF(IF(A24="Achat",OR(C24="",F24=""),OR(D24="",F24="")),"",ROUND((IF(A24="Achat",INDEX($C$6:$C$10,MATCH(C24,$A$6:$A$10,0)),D24*($H$5+$H$6*$H$8)/100)*(1+$H$9)+E24)/$H$10,0)*$H$10)</x:f>
        <x:v>10400</x:v>
      </x:c>
      <x:c r="J24" s="142" t="str">
        <x:v>Coût différentiel validé</x:v>
      </x:c>
    </x:row>
    <x:row r="25" ht="26" customHeight="1">
      <x:c r="A25" s="76" t="str">
        <x:v>Forge</x:v>
      </x:c>
      <x:c r="B25" s="76" t="str">
        <x:v>Armure +2 → +3</x:v>
      </x:c>
      <x:c r="C25" s="76"/>
      <x:c r="D25" s="148" t="n">
        <x:f>'03 - Devis forge'!K13</x:f>
        <x:v>22950</x:v>
      </x:c>
      <x:c r="E25" s="145" t="n">
        <x:v>0</x:v>
      </x:c>
      <x:c r="F25" s="146" t="n">
        <x:v>2</x:v>
      </x:c>
      <x:c r="G25" s="147" t="n">
        <x:f>IF(IF(A25="Achat",OR(C25="",F25=""),OR(D25="",F25="")),"",ROUND((IF(A25="Achat",(INDEX($B$6:$B$10,MATCH(C25,$A$6:$A$10,0))+(INDEX($C$6:$C$10,MATCH(C25,$A$6:$A$10,0))-INDEX($B$6:$B$10,MATCH(C25,$A$6:$A$10,0)))*(F25-$H$7)/($H$8-$H$7)),(D25*($H$5+$H$6*F25)/100))*(1+$H$9)+E25)/$H$10,0)*$H$10)</x:f>
        <x:v>17442</x:v>
      </x:c>
      <x:c r="H25" s="147" t="n">
        <x:f>IF(IF(A25="Achat",OR(C25="",F25=""),OR(D25="",F25="")),"",ROUND((IF(A25="Achat",INDEX($B$6:$B$10,MATCH(C25,$A$6:$A$10,0)),D25*($H$5+$H$6*$H$7)/100)*(1+$H$9)+E25)/$H$10,0)*$H$10)</x:f>
        <x:v>16754</x:v>
      </x:c>
      <x:c r="I25" s="147" t="n">
        <x:f>IF(IF(A25="Achat",OR(C25="",F25=""),OR(D25="",F25="")),"",ROUND((IF(A25="Achat",INDEX($C$6:$C$10,MATCH(C25,$A$6:$A$10,0)),D25*($H$5+$H$6*$H$8)/100)*(1+$H$9)+E25)/$H$10,0)*$H$10)</x:f>
        <x:v>29835</x:v>
      </x:c>
      <x:c r="J25" s="95" t="str">
        <x:v>Coût différentiel validé</x:v>
      </x:c>
    </x:row>
    <x:row r="26" ht="26" customHeight="1">
      <x:c r="A26" s="143" t="str">
        <x:v>Forge</x:v>
      </x:c>
      <x:c r="B26" s="143" t="str">
        <x:v>Arc +2 sournois frugale (neuf)</x:v>
      </x:c>
      <x:c r="C26" s="143"/>
      <x:c r="D26" s="144" t="n">
        <x:f>'03 - Devis forge'!K11</x:f>
        <x:v>25000</x:v>
      </x:c>
      <x:c r="E26" s="145" t="n">
        <x:v>0</x:v>
      </x:c>
      <x:c r="F26" s="146" t="n">
        <x:v>12</x:v>
      </x:c>
      <x:c r="G26" s="147" t="n">
        <x:f>IF(IF(A26="Achat",OR(C26="",F26=""),OR(D26="",F26="")),"",ROUND((IF(A26="Achat",(INDEX($B$6:$B$10,MATCH(C26,$A$6:$A$10,0))+(INDEX($C$6:$C$10,MATCH(C26,$A$6:$A$10,0))-INDEX($B$6:$B$10,MATCH(C26,$A$6:$A$10,0)))*(F26-$H$7)/($H$8-$H$7)),(D26*($H$5+$H$6*F26)/100))*(1+$H$9)+E26)/$H$10,0)*$H$10)</x:f>
        <x:v>26500</x:v>
      </x:c>
      <x:c r="H26" s="147" t="n">
        <x:f>IF(IF(A26="Achat",OR(C26="",F26=""),OR(D26="",F26="")),"",ROUND((IF(A26="Achat",INDEX($B$6:$B$10,MATCH(C26,$A$6:$A$10,0)),D26*($H$5+$H$6*$H$7)/100)*(1+$H$9)+E26)/$H$10,0)*$H$10)</x:f>
        <x:v>18250</x:v>
      </x:c>
      <x:c r="I26" s="147" t="n">
        <x:f>IF(IF(A26="Achat",OR(C26="",F26=""),OR(D26="",F26="")),"",ROUND((IF(A26="Achat",INDEX($C$6:$C$10,MATCH(C26,$A$6:$A$10,0)),D26*($H$5+$H$6*$H$8)/100)*(1+$H$9)+E26)/$H$10,0)*$H$10)</x:f>
        <x:v>32500</x:v>
      </x:c>
      <x:c r="J26" s="142" t="str">
        <x:v>2 slots sur 2</x:v>
      </x:c>
    </x:row>
    <x:row r="27" ht="26" customHeight="1">
      <x:c r="A27" s="76" t="str">
        <x:v>Forge</x:v>
      </x:c>
      <x:c r="B27" s="76" t="str">
        <x:v>Forge avec composants spéciaux</x:v>
      </x:c>
      <x:c r="C27" s="76"/>
      <x:c r="D27" s="148" t="n">
        <x:v>3000</x:v>
      </x:c>
      <x:c r="E27" s="145" t="n">
        <x:v>200</x:v>
      </x:c>
      <x:c r="F27" s="146" t="n">
        <x:v>17</x:v>
      </x:c>
      <x:c r="G27" s="147" t="n">
        <x:f>IF(IF(A27="Achat",OR(C27="",F27=""),OR(D27="",F27="")),"",ROUND((IF(A27="Achat",(INDEX($B$6:$B$10,MATCH(C27,$A$6:$A$10,0))+(INDEX($C$6:$C$10,MATCH(C27,$A$6:$A$10,0))-INDEX($B$6:$B$10,MATCH(C27,$A$6:$A$10,0)))*(F27-$H$7)/($H$8-$H$7)),(D27*($H$5+$H$6*F27)/100))*(1+$H$9)+E27)/$H$10,0)*$H$10)</x:f>
        <x:v>3830</x:v>
      </x:c>
      <x:c r="H27" s="147" t="n">
        <x:f>IF(IF(A27="Achat",OR(C27="",F27=""),OR(D27="",F27="")),"",ROUND((IF(A27="Achat",INDEX($B$6:$B$10,MATCH(C27,$A$6:$A$10,0)),D27*($H$5+$H$6*$H$7)/100)*(1+$H$9)+E27)/$H$10,0)*$H$10)</x:f>
        <x:v>2390</x:v>
      </x:c>
      <x:c r="I27" s="147" t="n">
        <x:f>IF(IF(A27="Achat",OR(C27="",F27=""),OR(D27="",F27="")),"",ROUND((IF(A27="Achat",INDEX($C$6:$C$10,MATCH(C27,$A$6:$A$10,0)),D27*($H$5+$H$6*$H$8)/100)*(1+$H$9)+E27)/$H$10,0)*$H$10)</x:f>
        <x:v>4100</x:v>
      </x:c>
      <x:c r="J27" s="95" t="str">
        <x:v>Ajouter forfait matériel</x:v>
      </x:c>
    </x:row>
    <x:row r="29" ht="27" customHeight="1">
      <x:c r="A29" s="114" t="str">
        <x:v>RÉTRO-COMPARAISON — prix conservés du fichier original ; jets choisis a posteriori pour approcher les prix</x:v>
      </x:c>
      <x:c r="B29" s="114"/>
      <x:c r="C29" s="114"/>
      <x:c r="D29" s="114"/>
      <x:c r="E29" s="114"/>
      <x:c r="F29" s="114"/>
      <x:c r="G29" s="114"/>
      <x:c r="H29" s="114"/>
      <x:c r="I29" s="114"/>
      <x:c r="J29" s="114"/>
      <x:c r="K29" s="114"/>
      <x:c r="L29" s="114"/>
    </x:row>
    <x:row r="30" ht="37" customHeight="1">
      <x:c r="A30" s="117" t="str">
        <x:v>Provenance</x:v>
      </x:c>
      <x:c r="B30" s="117" t="str">
        <x:v>Objet</x:v>
      </x:c>
      <x:c r="C30" s="117" t="str">
        <x:v>Type</x:v>
      </x:c>
      <x:c r="D30" s="117" t="str">
        <x:v>Rareté</x:v>
      </x:c>
      <x:c r="E30" s="117" t="str">
        <x:v>Base forge (po)</x:v>
      </x:c>
      <x:c r="F30" s="117" t="str">
        <x:v>Ancien prix (po)</x:v>
      </x:c>
      <x:c r="G30" s="117" t="str">
        <x:v>d20 ajusté</x:v>
      </x:c>
      <x:c r="H30" s="117" t="str">
        <x:v>Prix modèle (po)</x:v>
      </x:c>
      <x:c r="I30" s="117" t="str">
        <x:v>Écart signé (po)</x:v>
      </x:c>
      <x:c r="J30" s="117" t="str">
        <x:v>Écart absolu (po)</x:v>
      </x:c>
      <x:c r="K30" s="117" t="str">
        <x:v>Écart relatif</x:v>
      </x:c>
      <x:c r="L30" s="117" t="str">
        <x:v>Limite d'interprétation</x:v>
      </x:c>
    </x:row>
    <x:row r="31" ht="27" customHeight="1">
      <x:c r="A31" s="136" t="str">
        <x:v>Flo!A4:C4</x:v>
      </x:c>
      <x:c r="B31" s="136" t="str">
        <x:v>Cape de déplacement</x:v>
      </x:c>
      <x:c r="C31" s="136" t="str">
        <x:v>Achat</x:v>
      </x:c>
      <x:c r="D31" s="136" t="str">
        <x:v>Rare</x:v>
      </x:c>
      <x:c r="E31" s="138"/>
      <x:c r="F31" s="138" t="n">
        <x:v>2117</x:v>
      </x:c>
      <x:c r="G31" s="139" t="n">
        <x:f>MAX($H$7,MIN($H$8,IF(C31="Achat",ROUND($H$7+($H$8-$H$7)*(F31/(1+$H$9)-INDEX($B$6:$B$10,MATCH(D31,$A$6:$A$10,0)))/(INDEX($C$6:$C$10,MATCH(D31,$A$6:$A$10,0))-INDEX($B$6:$B$10,MATCH(D31,$A$6:$A$10,0))),0),ROUND((100*F31/(E31*(1+$H$9))-$H$5)/$H$6,0))))</x:f>
        <x:v>8</x:v>
      </x:c>
      <x:c r="H31" s="135" t="n">
        <x:f>ROUND((IF(C31="Achat",(INDEX($B$6:$B$10,MATCH(D31,$A$6:$A$10,0))+(INDEX($C$6:$C$10,MATCH(D31,$A$6:$A$10,0))-INDEX($B$6:$B$10,MATCH(D31,$A$6:$A$10,0)))*(G31-$H$7)/($H$8-$H$7)),(E31*($H$5+$H$6*G31)/100))*(1+$H$9))/$H$10,0)*$H$10</x:f>
        <x:v>2158</x:v>
      </x:c>
      <x:c r="I31" s="135" t="n">
        <x:f>H31-F31</x:f>
        <x:v>41</x:v>
      </x:c>
      <x:c r="J31" s="135" t="n">
        <x:f>ABS(I31)</x:f>
        <x:v>41</x:v>
      </x:c>
      <x:c r="K31" s="140" t="n">
        <x:f>IF(F31=0,"",I31/F31)</x:f>
        <x:v>0.019367028814359942</x:v>
      </x:c>
      <x:c r="L31" s="142" t="str">
        <x:v>Objet rare (achat)</x:v>
      </x:c>
    </x:row>
    <x:row r="32" ht="27" customHeight="1">
      <x:c r="A32" s="137" t="str">
        <x:v>Flo!A8:C8</x:v>
      </x:c>
      <x:c r="B32" s="137" t="str">
        <x:v>Anneau de stockage (Flo)</x:v>
      </x:c>
      <x:c r="C32" s="137" t="str">
        <x:v>Achat</x:v>
      </x:c>
      <x:c r="D32" s="137" t="str">
        <x:v>Rare</x:v>
      </x:c>
      <x:c r="E32" s="141"/>
      <x:c r="F32" s="141" t="n">
        <x:v>3140</x:v>
      </x:c>
      <x:c r="G32" s="139" t="n">
        <x:f>MAX($H$7,MIN($H$8,IF(C32="Achat",ROUND($H$7+($H$8-$H$7)*(F32/(1+$H$9)-INDEX($B$6:$B$10,MATCH(D32,$A$6:$A$10,0)))/(INDEX($C$6:$C$10,MATCH(D32,$A$6:$A$10,0))-INDEX($B$6:$B$10,MATCH(D32,$A$6:$A$10,0))),0),ROUND((100*F32/(E32*(1+$H$9))-$H$5)/$H$6,0))))</x:f>
        <x:v>12</x:v>
      </x:c>
      <x:c r="H32" s="135" t="n">
        <x:f>ROUND((IF(C32="Achat",(INDEX($B$6:$B$10,MATCH(D32,$A$6:$A$10,0))+(INDEX($C$6:$C$10,MATCH(D32,$A$6:$A$10,0))-INDEX($B$6:$B$10,MATCH(D32,$A$6:$A$10,0)))*(G32-$H$7)/($H$8-$H$7)),(E32*($H$5+$H$6*G32)/100))*(1+$H$9))/$H$10,0)*$H$10</x:f>
        <x:v>3105</x:v>
      </x:c>
      <x:c r="I32" s="135" t="n">
        <x:f>H32-F32</x:f>
        <x:v>-35</x:v>
      </x:c>
      <x:c r="J32" s="135" t="n">
        <x:f>ABS(I32)</x:f>
        <x:v>35</x:v>
      </x:c>
      <x:c r="K32" s="140" t="n">
        <x:f>IF(F32=0,"",I32/F32)</x:f>
        <x:v>-0.011146496815286623</x:v>
      </x:c>
      <x:c r="L32" s="95" t="str">
        <x:v>Objet rare (achat)</x:v>
      </x:c>
    </x:row>
    <x:row r="33" ht="27" customHeight="1">
      <x:c r="A33" s="136" t="str">
        <x:v>Flo!A9:C9</x:v>
      </x:c>
      <x:c r="B33" s="136" t="str">
        <x:v>Bateau pliable</x:v>
      </x:c>
      <x:c r="C33" s="136" t="str">
        <x:v>Achat</x:v>
      </x:c>
      <x:c r="D33" s="136" t="str">
        <x:v>Rare</x:v>
      </x:c>
      <x:c r="E33" s="138"/>
      <x:c r="F33" s="138" t="n">
        <x:v>3996</x:v>
      </x:c>
      <x:c r="G33" s="139" t="n">
        <x:f>MAX($H$7,MIN($H$8,IF(C33="Achat",ROUND($H$7+($H$8-$H$7)*(F33/(1+$H$9)-INDEX($B$6:$B$10,MATCH(D33,$A$6:$A$10,0)))/(INDEX($C$6:$C$10,MATCH(D33,$A$6:$A$10,0))-INDEX($B$6:$B$10,MATCH(D33,$A$6:$A$10,0))),0),ROUND((100*F33/(E33*(1+$H$9))-$H$5)/$H$6,0))))</x:f>
        <x:v>16</x:v>
      </x:c>
      <x:c r="H33" s="135" t="n">
        <x:f>ROUND((IF(C33="Achat",(INDEX($B$6:$B$10,MATCH(D33,$A$6:$A$10,0))+(INDEX($C$6:$C$10,MATCH(D33,$A$6:$A$10,0))-INDEX($B$6:$B$10,MATCH(D33,$A$6:$A$10,0)))*(G33-$H$7)/($H$8-$H$7)),(E33*($H$5+$H$6*G33)/100))*(1+$H$9))/$H$10,0)*$H$10</x:f>
        <x:v>4053</x:v>
      </x:c>
      <x:c r="I33" s="135" t="n">
        <x:f>H33-F33</x:f>
        <x:v>57</x:v>
      </x:c>
      <x:c r="J33" s="135" t="n">
        <x:f>ABS(I33)</x:f>
        <x:v>57</x:v>
      </x:c>
      <x:c r="K33" s="140" t="n">
        <x:f>IF(F33=0,"",I33/F33)</x:f>
        <x:v>0.014264264264264264</x:v>
      </x:c>
      <x:c r="L33" s="142" t="str">
        <x:v>Objet rare (achat)</x:v>
      </x:c>
    </x:row>
    <x:row r="34" ht="27" customHeight="1">
      <x:c r="A34" s="137" t="str">
        <x:v>Flo!A10:C10</x:v>
      </x:c>
      <x:c r="B34" s="137" t="str">
        <x:v>Bol élémentaires eau</x:v>
      </x:c>
      <x:c r="C34" s="137" t="str">
        <x:v>Achat</x:v>
      </x:c>
      <x:c r="D34" s="137" t="str">
        <x:v>Rare</x:v>
      </x:c>
      <x:c r="E34" s="141"/>
      <x:c r="F34" s="141" t="n">
        <x:v>3800</x:v>
      </x:c>
      <x:c r="G34" s="139" t="n">
        <x:f>MAX($H$7,MIN($H$8,IF(C34="Achat",ROUND($H$7+($H$8-$H$7)*(F34/(1+$H$9)-INDEX($B$6:$B$10,MATCH(D34,$A$6:$A$10,0)))/(INDEX($C$6:$C$10,MATCH(D34,$A$6:$A$10,0))-INDEX($B$6:$B$10,MATCH(D34,$A$6:$A$10,0))),0),ROUND((100*F34/(E34*(1+$H$9))-$H$5)/$H$6,0))))</x:f>
        <x:v>15</x:v>
      </x:c>
      <x:c r="H34" s="135" t="n">
        <x:f>ROUND((IF(C34="Achat",(INDEX($B$6:$B$10,MATCH(D34,$A$6:$A$10,0))+(INDEX($C$6:$C$10,MATCH(D34,$A$6:$A$10,0))-INDEX($B$6:$B$10,MATCH(D34,$A$6:$A$10,0)))*(G34-$H$7)/($H$8-$H$7)),(E34*($H$5+$H$6*G34)/100))*(1+$H$9))/$H$10,0)*$H$10</x:f>
        <x:v>3816</x:v>
      </x:c>
      <x:c r="I34" s="135" t="n">
        <x:f>H34-F34</x:f>
        <x:v>16</x:v>
      </x:c>
      <x:c r="J34" s="135" t="n">
        <x:f>ABS(I34)</x:f>
        <x:v>16</x:v>
      </x:c>
      <x:c r="K34" s="140" t="n">
        <x:f>IF(F34=0,"",I34/F34)</x:f>
        <x:v>0.004210526315789474</x:v>
      </x:c>
      <x:c r="L34" s="95" t="str">
        <x:v>Objet rare (achat)</x:v>
      </x:c>
    </x:row>
    <x:row r="35" ht="27" customHeight="1">
      <x:c r="A35" s="136" t="str">
        <x:v>Nono!A6:G6</x:v>
      </x:c>
      <x:c r="B35" s="136" t="str">
        <x:v>Anneau de stockage (Nono)</x:v>
      </x:c>
      <x:c r="C35" s="136" t="str">
        <x:v>Achat</x:v>
      </x:c>
      <x:c r="D35" s="136" t="str">
        <x:v>Rare</x:v>
      </x:c>
      <x:c r="E35" s="138"/>
      <x:c r="F35" s="138" t="n">
        <x:v>4012</x:v>
      </x:c>
      <x:c r="G35" s="139" t="n">
        <x:f>MAX($H$7,MIN($H$8,IF(C35="Achat",ROUND($H$7+($H$8-$H$7)*(F35/(1+$H$9)-INDEX($B$6:$B$10,MATCH(D35,$A$6:$A$10,0)))/(INDEX($C$6:$C$10,MATCH(D35,$A$6:$A$10,0))-INDEX($B$6:$B$10,MATCH(D35,$A$6:$A$10,0))),0),ROUND((100*F35/(E35*(1+$H$9))-$H$5)/$H$6,0))))</x:f>
        <x:v>16</x:v>
      </x:c>
      <x:c r="H35" s="135" t="n">
        <x:f>ROUND((IF(C35="Achat",(INDEX($B$6:$B$10,MATCH(D35,$A$6:$A$10,0))+(INDEX($C$6:$C$10,MATCH(D35,$A$6:$A$10,0))-INDEX($B$6:$B$10,MATCH(D35,$A$6:$A$10,0)))*(G35-$H$7)/($H$8-$H$7)),(E35*($H$5+$H$6*G35)/100))*(1+$H$9))/$H$10,0)*$H$10</x:f>
        <x:v>4053</x:v>
      </x:c>
      <x:c r="I35" s="135" t="n">
        <x:f>H35-F35</x:f>
        <x:v>41</x:v>
      </x:c>
      <x:c r="J35" s="135" t="n">
        <x:f>ABS(I35)</x:f>
        <x:v>41</x:v>
      </x:c>
      <x:c r="K35" s="140" t="n">
        <x:f>IF(F35=0,"",I35/F35)</x:f>
        <x:v>0.010219341974077766</x:v>
      </x:c>
      <x:c r="L35" s="142" t="str">
        <x:v>Prix MJ original</x:v>
      </x:c>
    </x:row>
    <x:row r="36" ht="27" customHeight="1">
      <x:c r="A36" s="137" t="str">
        <x:v>Thaïs!A55:F55</x:v>
      </x:c>
      <x:c r="B36" s="137" t="str">
        <x:v>Anneau de stockage (Thaïs)</x:v>
      </x:c>
      <x:c r="C36" s="137" t="str">
        <x:v>Achat</x:v>
      </x:c>
      <x:c r="D36" s="137" t="str">
        <x:v>Rare</x:v>
      </x:c>
      <x:c r="E36" s="141"/>
      <x:c r="F36" s="141" t="n">
        <x:v>4312</x:v>
      </x:c>
      <x:c r="G36" s="139" t="n">
        <x:f>MAX($H$7,MIN($H$8,IF(C36="Achat",ROUND($H$7+($H$8-$H$7)*(F36/(1+$H$9)-INDEX($B$6:$B$10,MATCH(D36,$A$6:$A$10,0)))/(INDEX($C$6:$C$10,MATCH(D36,$A$6:$A$10,0))-INDEX($B$6:$B$10,MATCH(D36,$A$6:$A$10,0))),0),ROUND((100*F36/(E36*(1+$H$9))-$H$5)/$H$6,0))))</x:f>
        <x:v>17</x:v>
      </x:c>
      <x:c r="H36" s="135" t="n">
        <x:f>ROUND((IF(C36="Achat",(INDEX($B$6:$B$10,MATCH(D36,$A$6:$A$10,0))+(INDEX($C$6:$C$10,MATCH(D36,$A$6:$A$10,0))-INDEX($B$6:$B$10,MATCH(D36,$A$6:$A$10,0)))*(G36-$H$7)/($H$8-$H$7)),(E36*($H$5+$H$6*G36)/100))*(1+$H$9))/$H$10,0)*$H$10</x:f>
        <x:v>4289</x:v>
      </x:c>
      <x:c r="I36" s="135" t="n">
        <x:f>H36-F36</x:f>
        <x:v>-23</x:v>
      </x:c>
      <x:c r="J36" s="135" t="n">
        <x:f>ABS(I36)</x:f>
        <x:v>23</x:v>
      </x:c>
      <x:c r="K36" s="140" t="n">
        <x:f>IF(F36=0,"",I36/F36)</x:f>
        <x:v>-0.005333951762523191</x:v>
      </x:c>
      <x:c r="L36" s="95" t="str">
        <x:v>Prix MJ original</x:v>
      </x:c>
    </x:row>
    <x:row r="37" ht="27" customHeight="1">
      <x:c r="A37" s="136" t="str">
        <x:v>Nono!A2:G2</x:v>
      </x:c>
      <x:c r="B37" s="136" t="str">
        <x:v>Bâton des forêts</x:v>
      </x:c>
      <x:c r="C37" s="136" t="str">
        <x:v>Achat</x:v>
      </x:c>
      <x:c r="D37" s="136" t="str">
        <x:v>Rare</x:v>
      </x:c>
      <x:c r="E37" s="138"/>
      <x:c r="F37" s="138" t="n">
        <x:v>5000</x:v>
      </x:c>
      <x:c r="G37" s="139" t="n">
        <x:f>MAX($H$7,MIN($H$8,IF(C37="Achat",ROUND($H$7+($H$8-$H$7)*(F37/(1+$H$9)-INDEX($B$6:$B$10,MATCH(D37,$A$6:$A$10,0)))/(INDEX($C$6:$C$10,MATCH(D37,$A$6:$A$10,0))-INDEX($B$6:$B$10,MATCH(D37,$A$6:$A$10,0))),0),ROUND((100*F37/(E37*(1+$H$9))-$H$5)/$H$6,0))))</x:f>
        <x:v>20</x:v>
      </x:c>
      <x:c r="H37" s="135" t="n">
        <x:f>ROUND((IF(C37="Achat",(INDEX($B$6:$B$10,MATCH(D37,$A$6:$A$10,0))+(INDEX($C$6:$C$10,MATCH(D37,$A$6:$A$10,0))-INDEX($B$6:$B$10,MATCH(D37,$A$6:$A$10,0)))*(G37-$H$7)/($H$8-$H$7)),(E37*($H$5+$H$6*G37)/100))*(1+$H$9))/$H$10,0)*$H$10</x:f>
        <x:v>5000</x:v>
      </x:c>
      <x:c r="I37" s="135" t="n">
        <x:f>H37-F37</x:f>
        <x:v>0</x:v>
      </x:c>
      <x:c r="J37" s="135" t="n">
        <x:f>ABS(I37)</x:f>
        <x:v>0</x:v>
      </x:c>
      <x:c r="K37" s="140" t="n">
        <x:f>IF(F37=0,"",I37/F37)</x:f>
        <x:v>0</x:v>
      </x:c>
      <x:c r="L37" s="142" t="str">
        <x:v>Prix MJ : borne maximale</x:v>
      </x:c>
    </x:row>
    <x:row r="38" ht="27" customHeight="1">
      <x:c r="A38" s="137" t="str">
        <x:v>Thaïs!A108:D108</x:v>
      </x:c>
      <x:c r="B38" s="137" t="str">
        <x:v>Périapte anti-poison</x:v>
      </x:c>
      <x:c r="C38" s="137" t="str">
        <x:v>Achat</x:v>
      </x:c>
      <x:c r="D38" s="137" t="str">
        <x:v>Rare</x:v>
      </x:c>
      <x:c r="E38" s="141"/>
      <x:c r="F38" s="141" t="n">
        <x:v>1000</x:v>
      </x:c>
      <x:c r="G38" s="139" t="n">
        <x:f>MAX($H$7,MIN($H$8,IF(C38="Achat",ROUND($H$7+($H$8-$H$7)*(F38/(1+$H$9)-INDEX($B$6:$B$10,MATCH(D38,$A$6:$A$10,0)))/(INDEX($C$6:$C$10,MATCH(D38,$A$6:$A$10,0))-INDEX($B$6:$B$10,MATCH(D38,$A$6:$A$10,0))),0),ROUND((100*F38/(E38*(1+$H$9))-$H$5)/$H$6,0))))</x:f>
        <x:v>3</x:v>
      </x:c>
      <x:c r="H38" s="135" t="n">
        <x:f>ROUND((IF(C38="Achat",(INDEX($B$6:$B$10,MATCH(D38,$A$6:$A$10,0))+(INDEX($C$6:$C$10,MATCH(D38,$A$6:$A$10,0))-INDEX($B$6:$B$10,MATCH(D38,$A$6:$A$10,0)))*(G38-$H$7)/($H$8-$H$7)),(E38*($H$5+$H$6*G38)/100))*(1+$H$9))/$H$10,0)*$H$10</x:f>
        <x:v>974</x:v>
      </x:c>
      <x:c r="I38" s="135" t="n">
        <x:f>H38-F38</x:f>
        <x:v>-26</x:v>
      </x:c>
      <x:c r="J38" s="135" t="n">
        <x:f>ABS(I38)</x:f>
        <x:v>26</x:v>
      </x:c>
      <x:c r="K38" s="140" t="n">
        <x:f>IF(F38=0,"",I38/F38)</x:f>
        <x:v>-0.026</x:v>
      </x:c>
      <x:c r="L38" s="95" t="str">
        <x:v>Cotation complémentaire</x:v>
      </x:c>
    </x:row>
    <x:row r="39" ht="27" customHeight="1">
      <x:c r="A39" s="136" t="str">
        <x:v>Flo!A27:G27</x:v>
      </x:c>
      <x:c r="B39" s="136" t="str">
        <x:v>Armure +2 → +3</x:v>
      </x:c>
      <x:c r="C39" s="136" t="str">
        <x:v>Forge</x:v>
      </x:c>
      <x:c r="D39" s="136"/>
      <x:c r="E39" s="138" t="n">
        <x:v>22950</x:v>
      </x:c>
      <x:c r="F39" s="138" t="n">
        <x:v>17500</x:v>
      </x:c>
      <x:c r="G39" s="139" t="n">
        <x:f>MAX($H$7,MIN($H$8,IF(C39="Achat",ROUND($H$7+($H$8-$H$7)*(F39/(1+$H$9)-INDEX($B$6:$B$10,MATCH(D39,$A$6:$A$10,0)))/(INDEX($C$6:$C$10,MATCH(D39,$A$6:$A$10,0))-INDEX($B$6:$B$10,MATCH(D39,$A$6:$A$10,0))),0),ROUND((100*F39/(E39*(1+$H$9))-$H$5)/$H$6,0))))</x:f>
        <x:v>2</x:v>
      </x:c>
      <x:c r="H39" s="135" t="n">
        <x:f>ROUND((IF(C39="Achat",(INDEX($B$6:$B$10,MATCH(D39,$A$6:$A$10,0))+(INDEX($C$6:$C$10,MATCH(D39,$A$6:$A$10,0))-INDEX($B$6:$B$10,MATCH(D39,$A$6:$A$10,0)))*(G39-$H$7)/($H$8-$H$7)),(E39*($H$5+$H$6*G39)/100))*(1+$H$9))/$H$10,0)*$H$10</x:f>
        <x:v>17442</x:v>
      </x:c>
      <x:c r="I39" s="135" t="n">
        <x:f>H39-F39</x:f>
        <x:v>-58</x:v>
      </x:c>
      <x:c r="J39" s="135" t="n">
        <x:f>ABS(I39)</x:f>
        <x:v>58</x:v>
      </x:c>
      <x:c r="K39" s="140" t="n">
        <x:f>IF(F39=0,"",I39/F39)</x:f>
        <x:v>-0.0033142857142857145</x:v>
      </x:c>
      <x:c r="L39" s="142" t="str">
        <x:v>Base et devis historiques</x:v>
      </x:c>
    </x:row>
    <x:row r="40" ht="27" customHeight="1">
      <x:c r="A40" s="137" t="str">
        <x:v>Flo!A31:G31</x:v>
      </x:c>
      <x:c r="B40" s="137" t="str">
        <x:v>Bouclier +3 gardesort</x:v>
      </x:c>
      <x:c r="C40" s="137" t="str">
        <x:v>Forge</x:v>
      </x:c>
      <x:c r="D40" s="137"/>
      <x:c r="E40" s="141" t="n">
        <x:v>54400</x:v>
      </x:c>
      <x:c r="F40" s="141" t="n">
        <x:v>41500</x:v>
      </x:c>
      <x:c r="G40" s="139" t="n">
        <x:f>MAX($H$7,MIN($H$8,IF(C40="Achat",ROUND($H$7+($H$8-$H$7)*(F40/(1+$H$9)-INDEX($B$6:$B$10,MATCH(D40,$A$6:$A$10,0)))/(INDEX($C$6:$C$10,MATCH(D40,$A$6:$A$10,0))-INDEX($B$6:$B$10,MATCH(D40,$A$6:$A$10,0))),0),ROUND((100*F40/(E40*(1+$H$9))-$H$5)/$H$6,0))))</x:f>
        <x:v>2</x:v>
      </x:c>
      <x:c r="H40" s="135" t="n">
        <x:f>ROUND((IF(C40="Achat",(INDEX($B$6:$B$10,MATCH(D40,$A$6:$A$10,0))+(INDEX($C$6:$C$10,MATCH(D40,$A$6:$A$10,0))-INDEX($B$6:$B$10,MATCH(D40,$A$6:$A$10,0)))*(G40-$H$7)/($H$8-$H$7)),(E40*($H$5+$H$6*G40)/100))*(1+$H$9))/$H$10,0)*$H$10</x:f>
        <x:v>41344</x:v>
      </x:c>
      <x:c r="I40" s="135" t="n">
        <x:f>H40-F40</x:f>
        <x:v>-156</x:v>
      </x:c>
      <x:c r="J40" s="135" t="n">
        <x:f>ABS(I40)</x:f>
        <x:v>156</x:v>
      </x:c>
      <x:c r="K40" s="140" t="n">
        <x:f>IF(F40=0,"",I40/F40)</x:f>
        <x:v>-0.003759036144578313</x:v>
      </x:c>
      <x:c r="L40" s="95" t="str">
        <x:v>Comparaison indicative : base modélisée, pas forcément la même prestation</x:v>
      </x:c>
    </x:row>
    <x:row r="43" ht="34" customHeight="1">
      <x:c r="A43" s="196" t="str">
        <x:v>HISTORIQUE UNIQUEMENT : cette simulation utilise des prix d'achat par rareté et autorise des majorations incompatibles avec le nouveau plafond.</x:v>
      </x:c>
      <x:c r="B43" s="125"/>
      <x:c r="C43" s="125"/>
      <x:c r="D43" s="125"/>
      <x:c r="E43" s="125"/>
      <x:c r="F43" s="125"/>
      <x:c r="G43" s="125"/>
      <x:c r="H43" s="125"/>
      <x:c r="I43" s="125"/>
      <x:c r="J43" s="125"/>
      <x:c r="K43" s="125"/>
      <x:c r="L43" s="125"/>
    </x:row>
    <x:row r="44" ht="31" customHeight="1">
      <x:c r="A44" s="196" t="str">
        <x:v>NOUVELLE RÈGLE : prix plafond = puissance équivalente N ; prix réel borné à 100 % ; la tension excédentaire se traduit en obstacle narratif.</x:v>
      </x:c>
      <x:c r="B44" s="125"/>
      <x:c r="C44" s="125"/>
      <x:c r="D44" s="125"/>
      <x:c r="E44" s="125"/>
      <x:c r="F44" s="125"/>
      <x:c r="G44" s="125"/>
      <x:c r="H44" s="125"/>
      <x:c r="I44" s="125"/>
      <x:c r="J44" s="125"/>
      <x:c r="K44" s="125"/>
      <x:c r="L44" s="125"/>
    </x:row>
  </x:sheetData>
  <x:mergeCells>
    <x:mergeCell ref="A1:L1"/>
    <x:mergeCell ref="A2:L2"/>
    <x:mergeCell ref="A4:D4"/>
    <x:mergeCell ref="G4:J4"/>
    <x:mergeCell ref="A12:F12"/>
    <x:mergeCell ref="A13:F13"/>
    <x:mergeCell ref="A14:F14"/>
    <x:mergeCell ref="A15:F15"/>
    <x:mergeCell ref="A16:F16"/>
    <x:mergeCell ref="A18:L18"/>
    <x:mergeCell ref="A29:L29"/>
    <x:mergeCell ref="A43:L43"/>
    <x:mergeCell ref="A44:L44"/>
    <x:mergeCell ref="G15:L15"/>
    <x:mergeCell ref="G16:L16"/>
  </x:mergeCells>
  <x:dataValidations count="1">
    <x:dataValidation type="list" sqref="F20:F27">
      <x:formula1>"1,2,3,4,5,6,7,8,9,10,11,12,13,14,15,16,17,18,19,20"</x:formula1>
    </x:dataValidation>
  </x:dataValidations>
  <x:pageMargins left="0.7" right="0.7" top="0.75" bottom="0.75" header="0.3" footer="0.3"/>
</x:worksheet>
</file>

<file path=xl/worksheets/sheet15.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9" hidden="0" customWidth="1"/>
    <x:col min="2" max="2" width="20" hidden="0" customWidth="1"/>
    <x:col min="3" max="3" width="23" hidden="0" customWidth="1"/>
    <x:col min="4" max="4" width="19" hidden="0" customWidth="1"/>
    <x:col min="5" max="5" width="18" hidden="0" customWidth="1"/>
    <x:col min="6" max="6" width="16" hidden="0" customWidth="1"/>
    <x:col min="7" max="7" width="18" hidden="0" customWidth="1"/>
    <x:col min="8" max="8" width="16" hidden="0" customWidth="1"/>
    <x:col min="9" max="9" width="20" hidden="0" customWidth="1"/>
    <x:col min="10" max="10" width="18" hidden="0" customWidth="1"/>
    <x:col min="11" max="11" width="16" hidden="0" customWidth="1"/>
    <x:col min="12" max="12" width="22" hidden="0" customWidth="1"/>
    <x:col min="13" max="13" width="23" hidden="0" customWidth="1"/>
    <x:col min="14" max="14" width="25" hidden="0" customWidth="1"/>
    <x:col min="15" max="15" width="42" hidden="0" customWidth="1"/>
  </x:cols>
  <x:sheetData>
    <x:row r="1" ht="40" customHeight="1">
      <x:c r="A1" s="154" t="str">
        <x:v>TARIFICATION UNIFIÉE — PLAFONDS ET ALÉAS (D20)</x:v>
      </x:c>
      <x:c r="B1" s="154"/>
      <x:c r="C1" s="154"/>
      <x:c r="D1" s="154"/>
      <x:c r="E1" s="154"/>
      <x:c r="F1" s="154"/>
      <x:c r="G1" s="154"/>
      <x:c r="H1" s="154"/>
      <x:c r="I1" s="154"/>
      <x:c r="J1" s="154"/>
      <x:c r="K1" s="154"/>
      <x:c r="L1" s="154"/>
      <x:c r="M1" s="154"/>
      <x:c r="N1" s="154"/>
      <x:c r="O1" s="154"/>
    </x:row>
    <x:row r="2" ht="29" customHeight="1">
      <x:c r="A2" s="182" t="str">
        <x:v>Le prix plafond découle de la puissance d'enchantement. Un jet peut accorder une remise OU créer un besoin narratif, jamais une surcharge en po.</x:v>
      </x:c>
      <x:c r="B2" s="182"/>
      <x:c r="C2" s="182"/>
      <x:c r="D2" s="182"/>
      <x:c r="E2" s="182"/>
      <x:c r="F2" s="182"/>
      <x:c r="G2" s="182"/>
      <x:c r="H2" s="182"/>
      <x:c r="I2" s="182"/>
      <x:c r="J2" s="182"/>
      <x:c r="K2" s="182"/>
      <x:c r="L2" s="182"/>
      <x:c r="M2" s="182"/>
      <x:c r="N2" s="182"/>
      <x:c r="O2" s="182"/>
    </x:row>
    <x:row r="3" ht="22" customHeight="1">
      <x:c r="A3" s="151"/>
      <x:c r="B3" s="151"/>
      <x:c r="C3" s="151"/>
      <x:c r="D3" s="151"/>
      <x:c r="E3" s="151"/>
      <x:c r="F3" s="151"/>
      <x:c r="G3" s="151"/>
      <x:c r="H3" s="151"/>
      <x:c r="I3" s="151"/>
      <x:c r="J3" s="151"/>
      <x:c r="K3" s="151"/>
      <x:c r="L3" s="151"/>
      <x:c r="M3" s="151"/>
      <x:c r="N3" s="151"/>
      <x:c r="O3" s="151"/>
    </x:row>
    <x:row r="4" ht="29" customHeight="1">
      <x:c r="A4" s="160" t="str">
        <x:v>PARAMÈTRES</x:v>
      </x:c>
      <x:c r="B4" s="160" t="str">
        <x:v>Valeur</x:v>
      </x:c>
      <x:c r="C4" s="151"/>
      <x:c r="D4" s="160" t="str">
        <x:v>PRINCIPES DE TARIFICATION</x:v>
      </x:c>
      <x:c r="E4" s="160"/>
      <x:c r="F4" s="160"/>
      <x:c r="G4" s="160"/>
      <x:c r="H4" s="160"/>
      <x:c r="I4" s="160"/>
      <x:c r="J4" s="160"/>
      <x:c r="K4" s="160"/>
      <x:c r="L4" s="160"/>
      <x:c r="M4" s="160"/>
      <x:c r="N4" s="160"/>
      <x:c r="O4" s="160"/>
    </x:row>
    <x:row r="5" ht="26" customHeight="1">
      <x:c r="A5" s="151" t="str">
        <x:v>Base par niveau² (po)</x:v>
      </x:c>
      <x:c r="B5" s="168" t="n">
        <x:f>'02 - Barème'!$B$3</x:f>
        <x:v>1000</x:v>
      </x:c>
      <x:c r="C5" s="151"/>
      <x:c r="D5" s="164" t="str">
        <x:v>NIVEAU DE PUISSANCE</x:v>
      </x:c>
      <x:c r="E5" s="165" t="str">
        <x:v>N = B×(B+1)/2 + slots pour arme / armure ; N fixé par le MJ pour objet autonome.</x:v>
      </x:c>
      <x:c r="F5" s="165"/>
      <x:c r="G5" s="165"/>
      <x:c r="H5" s="165"/>
      <x:c r="I5" s="165"/>
      <x:c r="J5" s="165"/>
      <x:c r="K5" s="165"/>
      <x:c r="L5" s="165"/>
      <x:c r="M5" s="165"/>
      <x:c r="N5" s="165"/>
      <x:c r="O5" s="165"/>
    </x:row>
    <x:row r="6" ht="26" customHeight="1">
      <x:c r="A6" s="151" t="str">
        <x:v>Coefficient arme</x:v>
      </x:c>
      <x:c r="B6" s="168" t="n">
        <x:v>1</x:v>
      </x:c>
      <x:c r="C6" s="151"/>
      <x:c r="D6" s="164" t="str">
        <x:v>CAPACITÉ</x:v>
      </x:c>
      <x:c r="E6" s="165" t="str">
        <x:v>Une arme +B dispose de B slots, indépendamment du niveau de coût triangulaire.</x:v>
      </x:c>
      <x:c r="F6" s="165"/>
      <x:c r="G6" s="165"/>
      <x:c r="H6" s="165"/>
      <x:c r="I6" s="165"/>
      <x:c r="J6" s="165"/>
      <x:c r="K6" s="165"/>
      <x:c r="L6" s="165"/>
      <x:c r="M6" s="165"/>
      <x:c r="N6" s="165"/>
      <x:c r="O6" s="165"/>
    </x:row>
    <x:row r="7" ht="26" customHeight="1">
      <x:c r="A7" s="151" t="str">
        <x:v>Coefficient armure / bouclier</x:v>
      </x:c>
      <x:c r="B7" s="168" t="n">
        <x:f>'02 - Barème'!$B$4</x:f>
        <x:v>0.85</x:v>
      </x:c>
      <x:c r="C7" s="151"/>
      <x:c r="D7" s="164" t="str">
        <x:v>PLAFOND</x:v>
      </x:c>
      <x:c r="E7" s="165" t="str">
        <x:v>Pmax = 1 000 × (N cible² − N ancien²) × coefficient. Pour un achat neuf, N ancien = 0.</x:v>
      </x:c>
      <x:c r="F7" s="165"/>
      <x:c r="G7" s="165"/>
      <x:c r="H7" s="165"/>
      <x:c r="I7" s="165"/>
      <x:c r="J7" s="165"/>
      <x:c r="K7" s="165"/>
      <x:c r="L7" s="165"/>
      <x:c r="M7" s="165"/>
      <x:c r="N7" s="165"/>
      <x:c r="O7" s="165"/>
    </x:row>
    <x:row r="8" ht="26" customHeight="1">
      <x:c r="A8" s="151" t="str">
        <x:v>Coefficient autre objet</x:v>
      </x:c>
      <x:c r="B8" s="168" t="n">
        <x:f>'02 - Barème'!$B$5</x:f>
        <x:v>0.8</x:v>
      </x:c>
      <x:c r="C8" s="151"/>
      <x:c r="D8" s="164" t="str">
        <x:v>PRIX RÉEL</x:v>
      </x:c>
      <x:c r="E8" s="165" t="str">
        <x:v>Ppayé = Pmax × min(100 %, 70 % + 2 % × d20), arrondi à la po.</x:v>
      </x:c>
      <x:c r="F8" s="165"/>
      <x:c r="G8" s="165"/>
      <x:c r="H8" s="165"/>
      <x:c r="I8" s="165"/>
      <x:c r="J8" s="165"/>
      <x:c r="K8" s="165"/>
      <x:c r="L8" s="165"/>
      <x:c r="M8" s="165"/>
      <x:c r="N8" s="165"/>
      <x:c r="O8" s="165"/>
    </x:row>
    <x:row r="9" ht="26" customHeight="1">
      <x:c r="A9" s="151" t="str">
        <x:v>Pourcentage fixe (%)</x:v>
      </x:c>
      <x:c r="B9" s="168" t="n">
        <x:v>70</x:v>
      </x:c>
      <x:c r="C9" s="151"/>
      <x:c r="D9" s="164" t="str">
        <x:v>ALÉA</x:v>
      </x:c>
      <x:c r="E9" s="165" t="str">
        <x:v>Si le taux brut dépasse 100 %, le paiement reste plafonné ; la difficulté est narrative.</x:v>
      </x:c>
      <x:c r="F9" s="165"/>
      <x:c r="G9" s="165"/>
      <x:c r="H9" s="165"/>
      <x:c r="I9" s="165"/>
      <x:c r="J9" s="165"/>
      <x:c r="K9" s="165"/>
      <x:c r="L9" s="165"/>
      <x:c r="M9" s="165"/>
      <x:c r="N9" s="165"/>
      <x:c r="O9" s="165"/>
    </x:row>
    <x:row r="10" ht="26" customHeight="1">
      <x:c r="A10" s="151" t="str">
        <x:v>Variation par point du d20 (%)</x:v>
      </x:c>
      <x:c r="B10" s="168" t="n">
        <x:v>2</x:v>
      </x:c>
      <x:c r="C10" s="151"/>
      <x:c r="D10" s="164" t="str">
        <x:v>PAS DE DOUBLE COÛT</x:v>
      </x:c>
      <x:c r="E10" s="165" t="str">
        <x:v>Le prix d’un ingrédient acheté est inclus dans Pmax. Une action en jeu peut le remplacer.</x:v>
      </x:c>
      <x:c r="F10" s="165"/>
      <x:c r="G10" s="165"/>
      <x:c r="H10" s="165"/>
      <x:c r="I10" s="165"/>
      <x:c r="J10" s="165"/>
      <x:c r="K10" s="165"/>
      <x:c r="L10" s="165"/>
      <x:c r="M10" s="165"/>
      <x:c r="N10" s="165"/>
      <x:c r="O10" s="165"/>
    </x:row>
    <x:row r="11" ht="26" customHeight="1">
      <x:c r="A11" s="151" t="str">
        <x:v>Jet minimum</x:v>
      </x:c>
      <x:c r="B11" s="168" t="n">
        <x:v>1</x:v>
      </x:c>
      <x:c r="C11" s="151"/>
      <x:c r="D11" s="164" t="str">
        <x:v>ÉCONOMIE</x:v>
      </x:c>
      <x:c r="E11" s="165" t="str">
        <x:v>Rareté = disponibilité et délais, PAS seconde grille indépendante de prix.</x:v>
      </x:c>
      <x:c r="F11" s="165"/>
      <x:c r="G11" s="165"/>
      <x:c r="H11" s="165"/>
      <x:c r="I11" s="165"/>
      <x:c r="J11" s="165"/>
      <x:c r="K11" s="165"/>
      <x:c r="L11" s="165"/>
      <x:c r="M11" s="165"/>
      <x:c r="N11" s="165"/>
      <x:c r="O11" s="165"/>
    </x:row>
    <x:row r="12" ht="26" customHeight="1">
      <x:c r="A12" s="151" t="str">
        <x:v>Jet maximum</x:v>
      </x:c>
      <x:c r="B12" s="168" t="n">
        <x:v>20</x:v>
      </x:c>
      <x:c r="C12" s="151"/>
      <x:c r="D12" s="164" t="str">
        <x:v>HISTORIQUE</x:v>
      </x:c>
      <x:c r="E12" s="165" t="str">
        <x:v>Ne jamais recalculer automatiquement les transactions déjà négociées ou payées.</x:v>
      </x:c>
      <x:c r="F12" s="165"/>
      <x:c r="G12" s="165"/>
      <x:c r="H12" s="165"/>
      <x:c r="I12" s="165"/>
      <x:c r="J12" s="165"/>
      <x:c r="K12" s="165"/>
      <x:c r="L12" s="165"/>
      <x:c r="M12" s="165"/>
      <x:c r="N12" s="165"/>
      <x:c r="O12" s="165"/>
    </x:row>
    <x:row r="13" ht="22" customHeight="1">
      <x:c r="A13" s="151"/>
      <x:c r="B13" s="151"/>
      <x:c r="C13" s="151"/>
      <x:c r="D13" s="151"/>
      <x:c r="E13" s="151"/>
      <x:c r="F13" s="151"/>
      <x:c r="G13" s="151"/>
      <x:c r="H13" s="151"/>
      <x:c r="I13" s="151"/>
      <x:c r="J13" s="151"/>
      <x:c r="K13" s="151"/>
      <x:c r="L13" s="151"/>
      <x:c r="M13" s="151"/>
      <x:c r="N13" s="151"/>
      <x:c r="O13" s="151"/>
    </x:row>
    <x:row r="14" ht="22" customHeight="1">
      <x:c r="A14" s="151"/>
      <x:c r="B14" s="151"/>
      <x:c r="C14" s="151"/>
      <x:c r="D14" s="151"/>
      <x:c r="E14" s="151"/>
      <x:c r="F14" s="151"/>
      <x:c r="G14" s="151"/>
      <x:c r="H14" s="151"/>
      <x:c r="I14" s="151"/>
      <x:c r="J14" s="151"/>
      <x:c r="K14" s="151"/>
      <x:c r="L14" s="151"/>
      <x:c r="M14" s="151"/>
      <x:c r="N14" s="151"/>
      <x:c r="O14" s="151"/>
    </x:row>
    <x:row r="15" ht="29" customHeight="1">
      <x:c r="A15" s="160" t="str">
        <x:v>N (puissance)</x:v>
      </x:c>
      <x:c r="B15" s="160" t="str">
        <x:v>Plafond arme</x:v>
      </x:c>
      <x:c r="C15" s="160" t="str">
        <x:v>Plafond armure / bouclier</x:v>
      </x:c>
      <x:c r="D15" s="160" t="str">
        <x:v>Plafond autre objet</x:v>
      </x:c>
      <x:c r="E15" s="151"/>
      <x:c r="F15" s="160" t="str">
        <x:v>SEUILS DU D20 — selon le rapport prix / plafond</x:v>
      </x:c>
      <x:c r="G15" s="160"/>
      <x:c r="H15" s="160"/>
      <x:c r="I15" s="160"/>
      <x:c r="J15" s="160"/>
      <x:c r="K15" s="160" t="str">
        <x:v>EXEMPLES D’ALÉAS (MJ)</x:v>
      </x:c>
      <x:c r="L15" s="160"/>
      <x:c r="M15" s="160"/>
      <x:c r="N15" s="160"/>
      <x:c r="O15" s="160"/>
    </x:row>
    <x:row r="16" ht="26" customHeight="1">
      <x:c r="A16" s="151" t="n">
        <x:v>1</x:v>
      </x:c>
      <x:c r="B16" s="177" t="n">
        <x:f>ROUND($B$5*A16^2*$B$6,0)</x:f>
        <x:v>1000</x:v>
      </x:c>
      <x:c r="C16" s="177" t="n">
        <x:f>ROUND($B$5*A16^2*$B$7,0)</x:f>
        <x:v>850</x:v>
      </x:c>
      <x:c r="D16" s="177" t="n">
        <x:f>ROUND($B$5*A16^2*$B$8,0)</x:f>
        <x:v>800</x:v>
      </x:c>
      <x:c r="E16" s="151"/>
      <x:c r="F16" s="163" t="str">
        <x:v>Jet</x:v>
      </x:c>
      <x:c r="G16" s="163" t="str">
        <x:v>Taux brut</x:v>
      </x:c>
      <x:c r="H16" s="163" t="str">
        <x:v>Taux payable</x:v>
      </x:c>
      <x:c r="I16" s="163" t="str">
        <x:v>Excédent converti</x:v>
      </x:c>
      <x:c r="J16" s="163" t="str">
        <x:v>Résultat</x:v>
      </x:c>
      <x:c r="K16" s="164" t="str">
        <x:v>16–17</x:v>
      </x:c>
      <x:c r="L16" s="165" t="str">
        <x:v>Un ingrédient précis / un service d'atelier est nécessaire</x:v>
      </x:c>
      <x:c r="M16" s="165"/>
      <x:c r="N16" s="165"/>
      <x:c r="O16" s="165"/>
    </x:row>
    <x:row r="17" ht="26" customHeight="1">
      <x:c r="A17" s="151" t="n">
        <x:v>2</x:v>
      </x:c>
      <x:c r="B17" s="177" t="n">
        <x:f>ROUND($B$5*A17^2*$B$6,0)</x:f>
        <x:v>4000</x:v>
      </x:c>
      <x:c r="C17" s="177" t="n">
        <x:f>ROUND($B$5*A17^2*$B$7,0)</x:f>
        <x:v>3400</x:v>
      </x:c>
      <x:c r="D17" s="177" t="n">
        <x:f>ROUND($B$5*A17^2*$B$8,0)</x:f>
        <x:v>3200</x:v>
      </x:c>
      <x:c r="E17" s="151"/>
      <x:c r="F17" s="151" t="n">
        <x:v>1</x:v>
      </x:c>
      <x:c r="G17" s="180" t="n">
        <x:f>($B$9+$B$10*F17)/100</x:f>
        <x:v>0.72</x:v>
      </x:c>
      <x:c r="H17" s="180" t="n">
        <x:f>MIN(1,G17)</x:f>
        <x:v>0.72</x:v>
      </x:c>
      <x:c r="I17" s="180" t="n">
        <x:f>MAX(0,G17-1)</x:f>
        <x:v>0</x:v>
      </x:c>
      <x:c r="J17" s="151" t="str">
        <x:f>IF(I17=0,"Prix réduit / plafond",IF(F17&lt;=17,"Matériau ou service",IF(F17&lt;=19,"Incident à résoudre","Quête majeure")))</x:f>
        <x:v>Prix réduit / plafond</x:v>
      </x:c>
      <x:c r="K17" s="164" t="str">
        <x:v>18–19</x:v>
      </x:c>
      <x:c r="L17" s="165" t="str">
        <x:v>Pénurie, outil défectueux, accès à un maître artisan</x:v>
      </x:c>
      <x:c r="M17" s="165"/>
      <x:c r="N17" s="165"/>
      <x:c r="O17" s="165"/>
    </x:row>
    <x:row r="18" ht="26" customHeight="1">
      <x:c r="A18" s="151" t="n">
        <x:v>3</x:v>
      </x:c>
      <x:c r="B18" s="177" t="n">
        <x:f>ROUND($B$5*A18^2*$B$6,0)</x:f>
        <x:v>9000</x:v>
      </x:c>
      <x:c r="C18" s="177" t="n">
        <x:f>ROUND($B$5*A18^2*$B$7,0)</x:f>
        <x:v>7650</x:v>
      </x:c>
      <x:c r="D18" s="177" t="n">
        <x:f>ROUND($B$5*A18^2*$B$8,0)</x:f>
        <x:v>7200</x:v>
      </x:c>
      <x:c r="E18" s="151"/>
      <x:c r="F18" s="151" t="n">
        <x:v>2</x:v>
      </x:c>
      <x:c r="G18" s="180" t="n">
        <x:f>($B$9+$B$10*F18)/100</x:f>
        <x:v>0.74</x:v>
      </x:c>
      <x:c r="H18" s="180" t="n">
        <x:f>MIN(1,G18)</x:f>
        <x:v>0.74</x:v>
      </x:c>
      <x:c r="I18" s="180" t="n">
        <x:f>MAX(0,G18-1)</x:f>
        <x:v>0</x:v>
      </x:c>
      <x:c r="J18" s="151" t="str">
        <x:f>IF(I18=0,"Prix réduit / plafond",IF(F18&lt;=17,"Matériau ou service",IF(F18&lt;=19,"Incident à résoudre","Quête majeure")))</x:f>
        <x:v>Prix réduit / plafond</x:v>
      </x:c>
      <x:c r="K18" s="164" t="str">
        <x:v>20</x:v>
      </x:c>
      <x:c r="L18" s="165" t="str">
        <x:v>Retrouver une ressource ou résoudre un incident important</x:v>
      </x:c>
      <x:c r="M18" s="165"/>
      <x:c r="N18" s="165"/>
      <x:c r="O18" s="165"/>
    </x:row>
    <x:row r="19" ht="26" customHeight="1">
      <x:c r="A19" s="151" t="n">
        <x:v>4</x:v>
      </x:c>
      <x:c r="B19" s="177" t="n">
        <x:f>ROUND($B$5*A19^2*$B$6,0)</x:f>
        <x:v>16000</x:v>
      </x:c>
      <x:c r="C19" s="177" t="n">
        <x:f>ROUND($B$5*A19^2*$B$7,0)</x:f>
        <x:v>13600</x:v>
      </x:c>
      <x:c r="D19" s="177" t="n">
        <x:f>ROUND($B$5*A19^2*$B$8,0)</x:f>
        <x:v>12800</x:v>
      </x:c>
      <x:c r="E19" s="151"/>
      <x:c r="F19" s="151" t="n">
        <x:v>3</x:v>
      </x:c>
      <x:c r="G19" s="180" t="n">
        <x:f>($B$9+$B$10*F19)/100</x:f>
        <x:v>0.76</x:v>
      </x:c>
      <x:c r="H19" s="180" t="n">
        <x:f>MIN(1,G19)</x:f>
        <x:v>0.76</x:v>
      </x:c>
      <x:c r="I19" s="180" t="n">
        <x:f>MAX(0,G19-1)</x:f>
        <x:v>0</x:v>
      </x:c>
      <x:c r="J19" s="151" t="str">
        <x:f>IF(I19=0,"Prix réduit / plafond",IF(F19&lt;=17,"Matériau ou service",IF(F19&lt;=19,"Incident à résoudre","Quête majeure")))</x:f>
        <x:v>Prix réduit / plafond</x:v>
      </x:c>
      <x:c r="K19" s="164" t="str">
        <x:v>Achat</x:v>
      </x:c>
      <x:c r="L19" s="165" t="str">
        <x:v>Stock exceptionnel, acheminement, propriétaire à convaincre</x:v>
      </x:c>
      <x:c r="M19" s="165"/>
      <x:c r="N19" s="165"/>
      <x:c r="O19" s="165"/>
    </x:row>
    <x:row r="20" ht="26" customHeight="1">
      <x:c r="A20" s="151" t="n">
        <x:v>5</x:v>
      </x:c>
      <x:c r="B20" s="177" t="n">
        <x:f>ROUND($B$5*A20^2*$B$6,0)</x:f>
        <x:v>25000</x:v>
      </x:c>
      <x:c r="C20" s="177" t="n">
        <x:f>ROUND($B$5*A20^2*$B$7,0)</x:f>
        <x:v>21250</x:v>
      </x:c>
      <x:c r="D20" s="177" t="n">
        <x:f>ROUND($B$5*A20^2*$B$8,0)</x:f>
        <x:v>20000</x:v>
      </x:c>
      <x:c r="E20" s="151"/>
      <x:c r="F20" s="151" t="n">
        <x:v>4</x:v>
      </x:c>
      <x:c r="G20" s="180" t="n">
        <x:f>($B$9+$B$10*F20)/100</x:f>
        <x:v>0.78</x:v>
      </x:c>
      <x:c r="H20" s="180" t="n">
        <x:f>MIN(1,G20)</x:f>
        <x:v>0.78</x:v>
      </x:c>
      <x:c r="I20" s="180" t="n">
        <x:f>MAX(0,G20-1)</x:f>
        <x:v>0</x:v>
      </x:c>
      <x:c r="J20" s="151" t="str">
        <x:f>IF(I20=0,"Prix réduit / plafond",IF(F20&lt;=17,"Matériau ou service",IF(F20&lt;=19,"Incident à résoudre","Quête majeure")))</x:f>
        <x:v>Prix réduit / plafond</x:v>
      </x:c>
      <x:c r="K20" s="164" t="str">
        <x:v>Forge</x:v>
      </x:c>
      <x:c r="L20" s="165" t="str">
        <x:v>Catalyseur, ancien schéma de runes, stabilisation magique</x:v>
      </x:c>
      <x:c r="M20" s="165"/>
      <x:c r="N20" s="165"/>
      <x:c r="O20" s="165"/>
    </x:row>
    <x:row r="21" ht="23" customHeight="1">
      <x:c r="A21" s="151" t="n">
        <x:v>6</x:v>
      </x:c>
      <x:c r="B21" s="177" t="n">
        <x:f>ROUND($B$5*A21^2*$B$6,0)</x:f>
        <x:v>36000</x:v>
      </x:c>
      <x:c r="C21" s="177" t="n">
        <x:f>ROUND($B$5*A21^2*$B$7,0)</x:f>
        <x:v>30600</x:v>
      </x:c>
      <x:c r="D21" s="177" t="n">
        <x:f>ROUND($B$5*A21^2*$B$8,0)</x:f>
        <x:v>28800</x:v>
      </x:c>
      <x:c r="E21" s="151"/>
      <x:c r="F21" s="151" t="n">
        <x:v>5</x:v>
      </x:c>
      <x:c r="G21" s="180" t="n">
        <x:f>($B$9+$B$10*F21)/100</x:f>
        <x:v>0.8</x:v>
      </x:c>
      <x:c r="H21" s="180" t="n">
        <x:f>MIN(1,G21)</x:f>
        <x:v>0.8</x:v>
      </x:c>
      <x:c r="I21" s="180" t="n">
        <x:f>MAX(0,G21-1)</x:f>
        <x:v>0</x:v>
      </x:c>
      <x:c r="J21" s="151" t="str">
        <x:f>IF(I21=0,"Prix réduit / plafond",IF(F21&lt;=17,"Matériau ou service",IF(F21&lt;=19,"Incident à résoudre","Quête majeure")))</x:f>
        <x:v>Prix réduit / plafond</x:v>
      </x:c>
      <x:c r="K21" s="151"/>
      <x:c r="L21" s="151"/>
      <x:c r="M21" s="151"/>
      <x:c r="N21" s="151"/>
      <x:c r="O21" s="151"/>
    </x:row>
    <x:row r="22" ht="23" customHeight="1">
      <x:c r="A22" s="151" t="n">
        <x:v>7</x:v>
      </x:c>
      <x:c r="B22" s="177" t="n">
        <x:f>ROUND($B$5*A22^2*$B$6,0)</x:f>
        <x:v>49000</x:v>
      </x:c>
      <x:c r="C22" s="177" t="n">
        <x:f>ROUND($B$5*A22^2*$B$7,0)</x:f>
        <x:v>41650</x:v>
      </x:c>
      <x:c r="D22" s="177" t="n">
        <x:f>ROUND($B$5*A22^2*$B$8,0)</x:f>
        <x:v>39200</x:v>
      </x:c>
      <x:c r="E22" s="151"/>
      <x:c r="F22" s="151" t="n">
        <x:v>6</x:v>
      </x:c>
      <x:c r="G22" s="180" t="n">
        <x:f>($B$9+$B$10*F22)/100</x:f>
        <x:v>0.82</x:v>
      </x:c>
      <x:c r="H22" s="180" t="n">
        <x:f>MIN(1,G22)</x:f>
        <x:v>0.82</x:v>
      </x:c>
      <x:c r="I22" s="180" t="n">
        <x:f>MAX(0,G22-1)</x:f>
        <x:v>0</x:v>
      </x:c>
      <x:c r="J22" s="151" t="str">
        <x:f>IF(I22=0,"Prix réduit / plafond",IF(F22&lt;=17,"Matériau ou service",IF(F22&lt;=19,"Incident à résoudre","Quête majeure")))</x:f>
        <x:v>Prix réduit / plafond</x:v>
      </x:c>
      <x:c r="K22" s="171" t="str">
        <x:v>Une complication retarde ou conditionne la livraison : elle ne modifie pas le plafond en po. Les coûts éventuels de matériaux doivent être déduits du paiement dû au marchand/forgeron.</x:v>
      </x:c>
      <x:c r="L22" s="171"/>
      <x:c r="M22" s="171"/>
      <x:c r="N22" s="171"/>
      <x:c r="O22" s="171"/>
    </x:row>
    <x:row r="23" ht="23" customHeight="1">
      <x:c r="A23" s="151" t="n">
        <x:v>8</x:v>
      </x:c>
      <x:c r="B23" s="177" t="n">
        <x:f>ROUND($B$5*A23^2*$B$6,0)</x:f>
        <x:v>64000</x:v>
      </x:c>
      <x:c r="C23" s="177" t="n">
        <x:f>ROUND($B$5*A23^2*$B$7,0)</x:f>
        <x:v>54400</x:v>
      </x:c>
      <x:c r="D23" s="177" t="n">
        <x:f>ROUND($B$5*A23^2*$B$8,0)</x:f>
        <x:v>51200</x:v>
      </x:c>
      <x:c r="E23" s="151"/>
      <x:c r="F23" s="151" t="n">
        <x:v>7</x:v>
      </x:c>
      <x:c r="G23" s="180" t="n">
        <x:f>($B$9+$B$10*F23)/100</x:f>
        <x:v>0.84</x:v>
      </x:c>
      <x:c r="H23" s="180" t="n">
        <x:f>MIN(1,G23)</x:f>
        <x:v>0.84</x:v>
      </x:c>
      <x:c r="I23" s="180" t="n">
        <x:f>MAX(0,G23-1)</x:f>
        <x:v>0</x:v>
      </x:c>
      <x:c r="J23" s="151" t="str">
        <x:f>IF(I23=0,"Prix réduit / plafond",IF(F23&lt;=17,"Matériau ou service",IF(F23&lt;=19,"Incident à résoudre","Quête majeure")))</x:f>
        <x:v>Prix réduit / plafond</x:v>
      </x:c>
      <x:c r="K23" s="171"/>
      <x:c r="L23" s="171"/>
      <x:c r="M23" s="171"/>
      <x:c r="N23" s="171"/>
      <x:c r="O23" s="171"/>
    </x:row>
    <x:row r="24" ht="23" customHeight="1">
      <x:c r="A24" s="151" t="n">
        <x:v>9</x:v>
      </x:c>
      <x:c r="B24" s="177" t="n">
        <x:f>ROUND($B$5*A24^2*$B$6,0)</x:f>
        <x:v>81000</x:v>
      </x:c>
      <x:c r="C24" s="177" t="n">
        <x:f>ROUND($B$5*A24^2*$B$7,0)</x:f>
        <x:v>68850</x:v>
      </x:c>
      <x:c r="D24" s="177" t="n">
        <x:f>ROUND($B$5*A24^2*$B$8,0)</x:f>
        <x:v>64800</x:v>
      </x:c>
      <x:c r="E24" s="151"/>
      <x:c r="F24" s="151" t="n">
        <x:v>8</x:v>
      </x:c>
      <x:c r="G24" s="180" t="n">
        <x:f>($B$9+$B$10*F24)/100</x:f>
        <x:v>0.86</x:v>
      </x:c>
      <x:c r="H24" s="180" t="n">
        <x:f>MIN(1,G24)</x:f>
        <x:v>0.86</x:v>
      </x:c>
      <x:c r="I24" s="180" t="n">
        <x:f>MAX(0,G24-1)</x:f>
        <x:v>0</x:v>
      </x:c>
      <x:c r="J24" s="151" t="str">
        <x:f>IF(I24=0,"Prix réduit / plafond",IF(F24&lt;=17,"Matériau ou service",IF(F24&lt;=19,"Incident à résoudre","Quête majeure")))</x:f>
        <x:v>Prix réduit / plafond</x:v>
      </x:c>
      <x:c r="K24" s="171"/>
      <x:c r="L24" s="171"/>
      <x:c r="M24" s="171"/>
      <x:c r="N24" s="171"/>
      <x:c r="O24" s="171"/>
    </x:row>
    <x:row r="25" ht="23" customHeight="1">
      <x:c r="A25" s="151" t="n">
        <x:v>10</x:v>
      </x:c>
      <x:c r="B25" s="177" t="n">
        <x:f>ROUND($B$5*A25^2*$B$6,0)</x:f>
        <x:v>100000</x:v>
      </x:c>
      <x:c r="C25" s="177" t="n">
        <x:f>ROUND($B$5*A25^2*$B$7,0)</x:f>
        <x:v>85000</x:v>
      </x:c>
      <x:c r="D25" s="177" t="n">
        <x:f>ROUND($B$5*A25^2*$B$8,0)</x:f>
        <x:v>80000</x:v>
      </x:c>
      <x:c r="E25" s="151"/>
      <x:c r="F25" s="151" t="n">
        <x:v>9</x:v>
      </x:c>
      <x:c r="G25" s="180" t="n">
        <x:f>($B$9+$B$10*F25)/100</x:f>
        <x:v>0.88</x:v>
      </x:c>
      <x:c r="H25" s="180" t="n">
        <x:f>MIN(1,G25)</x:f>
        <x:v>0.88</x:v>
      </x:c>
      <x:c r="I25" s="180" t="n">
        <x:f>MAX(0,G25-1)</x:f>
        <x:v>0</x:v>
      </x:c>
      <x:c r="J25" s="151" t="str">
        <x:f>IF(I25=0,"Prix réduit / plafond",IF(F25&lt;=17,"Matériau ou service",IF(F25&lt;=19,"Incident à résoudre","Quête majeure")))</x:f>
        <x:v>Prix réduit / plafond</x:v>
      </x:c>
      <x:c r="K25" s="151"/>
      <x:c r="L25" s="151"/>
      <x:c r="M25" s="151"/>
      <x:c r="N25" s="151"/>
      <x:c r="O25" s="151"/>
    </x:row>
    <x:row r="26" ht="23" customHeight="1">
      <x:c r="A26" s="151"/>
      <x:c r="B26" s="151"/>
      <x:c r="C26" s="151"/>
      <x:c r="D26" s="151"/>
      <x:c r="E26" s="151"/>
      <x:c r="F26" s="151" t="n">
        <x:v>10</x:v>
      </x:c>
      <x:c r="G26" s="180" t="n">
        <x:f>($B$9+$B$10*F26)/100</x:f>
        <x:v>0.9</x:v>
      </x:c>
      <x:c r="H26" s="180" t="n">
        <x:f>MIN(1,G26)</x:f>
        <x:v>0.9</x:v>
      </x:c>
      <x:c r="I26" s="180" t="n">
        <x:f>MAX(0,G26-1)</x:f>
        <x:v>0</x:v>
      </x:c>
      <x:c r="J26" s="151" t="str">
        <x:f>IF(I26=0,"Prix réduit / plafond",IF(F26&lt;=17,"Matériau ou service",IF(F26&lt;=19,"Incident à résoudre","Quête majeure")))</x:f>
        <x:v>Prix réduit / plafond</x:v>
      </x:c>
      <x:c r="K26" s="151"/>
      <x:c r="L26" s="151"/>
      <x:c r="M26" s="151"/>
      <x:c r="N26" s="151"/>
      <x:c r="O26" s="151"/>
    </x:row>
    <x:row r="27" ht="23" customHeight="1">
      <x:c r="A27" s="151"/>
      <x:c r="B27" s="151"/>
      <x:c r="C27" s="151"/>
      <x:c r="D27" s="151"/>
      <x:c r="E27" s="151"/>
      <x:c r="F27" s="151" t="n">
        <x:v>11</x:v>
      </x:c>
      <x:c r="G27" s="180" t="n">
        <x:f>($B$9+$B$10*F27)/100</x:f>
        <x:v>0.92</x:v>
      </x:c>
      <x:c r="H27" s="180" t="n">
        <x:f>MIN(1,G27)</x:f>
        <x:v>0.92</x:v>
      </x:c>
      <x:c r="I27" s="180" t="n">
        <x:f>MAX(0,G27-1)</x:f>
        <x:v>0</x:v>
      </x:c>
      <x:c r="J27" s="151" t="str">
        <x:f>IF(I27=0,"Prix réduit / plafond",IF(F27&lt;=17,"Matériau ou service",IF(F27&lt;=19,"Incident à résoudre","Quête majeure")))</x:f>
        <x:v>Prix réduit / plafond</x:v>
      </x:c>
      <x:c r="K27" s="151"/>
      <x:c r="L27" s="151"/>
      <x:c r="M27" s="151"/>
      <x:c r="N27" s="151"/>
      <x:c r="O27" s="151"/>
    </x:row>
    <x:row r="28" ht="23" customHeight="1">
      <x:c r="A28" s="151"/>
      <x:c r="B28" s="151"/>
      <x:c r="C28" s="151"/>
      <x:c r="D28" s="151"/>
      <x:c r="E28" s="151"/>
      <x:c r="F28" s="151" t="n">
        <x:v>12</x:v>
      </x:c>
      <x:c r="G28" s="180" t="n">
        <x:f>($B$9+$B$10*F28)/100</x:f>
        <x:v>0.94</x:v>
      </x:c>
      <x:c r="H28" s="180" t="n">
        <x:f>MIN(1,G28)</x:f>
        <x:v>0.94</x:v>
      </x:c>
      <x:c r="I28" s="180" t="n">
        <x:f>MAX(0,G28-1)</x:f>
        <x:v>0</x:v>
      </x:c>
      <x:c r="J28" s="151" t="str">
        <x:f>IF(I28=0,"Prix réduit / plafond",IF(F28&lt;=17,"Matériau ou service",IF(F28&lt;=19,"Incident à résoudre","Quête majeure")))</x:f>
        <x:v>Prix réduit / plafond</x:v>
      </x:c>
      <x:c r="K28" s="151"/>
      <x:c r="L28" s="151"/>
      <x:c r="M28" s="151"/>
      <x:c r="N28" s="151"/>
      <x:c r="O28" s="151"/>
    </x:row>
    <x:row r="29" ht="23" customHeight="1">
      <x:c r="A29" s="151"/>
      <x:c r="B29" s="151"/>
      <x:c r="C29" s="151"/>
      <x:c r="D29" s="151"/>
      <x:c r="E29" s="151"/>
      <x:c r="F29" s="151" t="n">
        <x:v>13</x:v>
      </x:c>
      <x:c r="G29" s="180" t="n">
        <x:f>($B$9+$B$10*F29)/100</x:f>
        <x:v>0.96</x:v>
      </x:c>
      <x:c r="H29" s="180" t="n">
        <x:f>MIN(1,G29)</x:f>
        <x:v>0.96</x:v>
      </x:c>
      <x:c r="I29" s="180" t="n">
        <x:f>MAX(0,G29-1)</x:f>
        <x:v>0</x:v>
      </x:c>
      <x:c r="J29" s="151" t="str">
        <x:f>IF(I29=0,"Prix réduit / plafond",IF(F29&lt;=17,"Matériau ou service",IF(F29&lt;=19,"Incident à résoudre","Quête majeure")))</x:f>
        <x:v>Prix réduit / plafond</x:v>
      </x:c>
      <x:c r="K29" s="151"/>
      <x:c r="L29" s="151"/>
      <x:c r="M29" s="151"/>
      <x:c r="N29" s="151"/>
      <x:c r="O29" s="151"/>
    </x:row>
    <x:row r="30" ht="23" customHeight="1">
      <x:c r="A30" s="151"/>
      <x:c r="B30" s="151"/>
      <x:c r="C30" s="151"/>
      <x:c r="D30" s="151"/>
      <x:c r="E30" s="151"/>
      <x:c r="F30" s="151" t="n">
        <x:v>14</x:v>
      </x:c>
      <x:c r="G30" s="180" t="n">
        <x:f>($B$9+$B$10*F30)/100</x:f>
        <x:v>0.98</x:v>
      </x:c>
      <x:c r="H30" s="180" t="n">
        <x:f>MIN(1,G30)</x:f>
        <x:v>0.98</x:v>
      </x:c>
      <x:c r="I30" s="180" t="n">
        <x:f>MAX(0,G30-1)</x:f>
        <x:v>0</x:v>
      </x:c>
      <x:c r="J30" s="151" t="str">
        <x:f>IF(I30=0,"Prix réduit / plafond",IF(F30&lt;=17,"Matériau ou service",IF(F30&lt;=19,"Incident à résoudre","Quête majeure")))</x:f>
        <x:v>Prix réduit / plafond</x:v>
      </x:c>
      <x:c r="K30" s="151"/>
      <x:c r="L30" s="151"/>
      <x:c r="M30" s="151"/>
      <x:c r="N30" s="151"/>
      <x:c r="O30" s="151"/>
    </x:row>
    <x:row r="31" ht="23" customHeight="1">
      <x:c r="A31" s="151"/>
      <x:c r="B31" s="151"/>
      <x:c r="C31" s="151"/>
      <x:c r="D31" s="151"/>
      <x:c r="E31" s="151"/>
      <x:c r="F31" s="151" t="n">
        <x:v>15</x:v>
      </x:c>
      <x:c r="G31" s="180" t="n">
        <x:f>($B$9+$B$10*F31)/100</x:f>
        <x:v>1</x:v>
      </x:c>
      <x:c r="H31" s="180" t="n">
        <x:f>MIN(1,G31)</x:f>
        <x:v>1</x:v>
      </x:c>
      <x:c r="I31" s="180" t="n">
        <x:f>MAX(0,G31-1)</x:f>
        <x:v>0</x:v>
      </x:c>
      <x:c r="J31" s="151" t="str">
        <x:f>IF(I31=0,"Prix réduit / plafond",IF(F31&lt;=17,"Matériau ou service",IF(F31&lt;=19,"Incident à résoudre","Quête majeure")))</x:f>
        <x:v>Prix réduit / plafond</x:v>
      </x:c>
      <x:c r="K31" s="151"/>
      <x:c r="L31" s="151"/>
      <x:c r="M31" s="151"/>
      <x:c r="N31" s="151"/>
      <x:c r="O31" s="151"/>
    </x:row>
    <x:row r="32" ht="23" customHeight="1">
      <x:c r="A32" s="151"/>
      <x:c r="B32" s="151"/>
      <x:c r="C32" s="151"/>
      <x:c r="D32" s="151"/>
      <x:c r="E32" s="151"/>
      <x:c r="F32" s="151" t="n">
        <x:v>16</x:v>
      </x:c>
      <x:c r="G32" s="180" t="n">
        <x:f>($B$9+$B$10*F32)/100</x:f>
        <x:v>1.02</x:v>
      </x:c>
      <x:c r="H32" s="180" t="n">
        <x:f>MIN(1,G32)</x:f>
        <x:v>1</x:v>
      </x:c>
      <x:c r="I32" s="180" t="n">
        <x:f>MAX(0,G32-1)</x:f>
        <x:v>0.020000000000000018</x:v>
      </x:c>
      <x:c r="J32" s="151" t="str">
        <x:f>IF(I32=0,"Prix réduit / plafond",IF(F32&lt;=17,"Matériau ou service",IF(F32&lt;=19,"Incident à résoudre","Quête majeure")))</x:f>
        <x:v>Matériau ou service</x:v>
      </x:c>
      <x:c r="K32" s="151"/>
      <x:c r="L32" s="151"/>
      <x:c r="M32" s="151"/>
      <x:c r="N32" s="151"/>
      <x:c r="O32" s="151"/>
    </x:row>
    <x:row r="33" ht="23" customHeight="1">
      <x:c r="A33" s="151"/>
      <x:c r="B33" s="151"/>
      <x:c r="C33" s="151"/>
      <x:c r="D33" s="151"/>
      <x:c r="E33" s="151"/>
      <x:c r="F33" s="151" t="n">
        <x:v>17</x:v>
      </x:c>
      <x:c r="G33" s="180" t="n">
        <x:f>($B$9+$B$10*F33)/100</x:f>
        <x:v>1.04</x:v>
      </x:c>
      <x:c r="H33" s="180" t="n">
        <x:f>MIN(1,G33)</x:f>
        <x:v>1</x:v>
      </x:c>
      <x:c r="I33" s="180" t="n">
        <x:f>MAX(0,G33-1)</x:f>
        <x:v>0.040000000000000036</x:v>
      </x:c>
      <x:c r="J33" s="151" t="str">
        <x:f>IF(I33=0,"Prix réduit / plafond",IF(F33&lt;=17,"Matériau ou service",IF(F33&lt;=19,"Incident à résoudre","Quête majeure")))</x:f>
        <x:v>Matériau ou service</x:v>
      </x:c>
      <x:c r="K33" s="151"/>
      <x:c r="L33" s="151"/>
      <x:c r="M33" s="151"/>
      <x:c r="N33" s="151"/>
      <x:c r="O33" s="151"/>
    </x:row>
    <x:row r="34" ht="23" customHeight="1">
      <x:c r="A34" s="151"/>
      <x:c r="B34" s="151"/>
      <x:c r="C34" s="151"/>
      <x:c r="D34" s="151"/>
      <x:c r="E34" s="151"/>
      <x:c r="F34" s="151" t="n">
        <x:v>18</x:v>
      </x:c>
      <x:c r="G34" s="180" t="n">
        <x:f>($B$9+$B$10*F34)/100</x:f>
        <x:v>1.06</x:v>
      </x:c>
      <x:c r="H34" s="180" t="n">
        <x:f>MIN(1,G34)</x:f>
        <x:v>1</x:v>
      </x:c>
      <x:c r="I34" s="180" t="n">
        <x:f>MAX(0,G34-1)</x:f>
        <x:v>0.06000000000000005</x:v>
      </x:c>
      <x:c r="J34" s="151" t="str">
        <x:f>IF(I34=0,"Prix réduit / plafond",IF(F34&lt;=17,"Matériau ou service",IF(F34&lt;=19,"Incident à résoudre","Quête majeure")))</x:f>
        <x:v>Incident à résoudre</x:v>
      </x:c>
      <x:c r="K34" s="151"/>
      <x:c r="L34" s="151"/>
      <x:c r="M34" s="151"/>
      <x:c r="N34" s="151"/>
      <x:c r="O34" s="151"/>
    </x:row>
    <x:row r="35" ht="23" customHeight="1">
      <x:c r="A35" s="151"/>
      <x:c r="B35" s="151"/>
      <x:c r="C35" s="151"/>
      <x:c r="D35" s="151"/>
      <x:c r="E35" s="151"/>
      <x:c r="F35" s="151" t="n">
        <x:v>19</x:v>
      </x:c>
      <x:c r="G35" s="180" t="n">
        <x:f>($B$9+$B$10*F35)/100</x:f>
        <x:v>1.08</x:v>
      </x:c>
      <x:c r="H35" s="180" t="n">
        <x:f>MIN(1,G35)</x:f>
        <x:v>1</x:v>
      </x:c>
      <x:c r="I35" s="180" t="n">
        <x:f>MAX(0,G35-1)</x:f>
        <x:v>0.08000000000000007</x:v>
      </x:c>
      <x:c r="J35" s="151" t="str">
        <x:f>IF(I35=0,"Prix réduit / plafond",IF(F35&lt;=17,"Matériau ou service",IF(F35&lt;=19,"Incident à résoudre","Quête majeure")))</x:f>
        <x:v>Incident à résoudre</x:v>
      </x:c>
      <x:c r="K35" s="151"/>
      <x:c r="L35" s="151"/>
      <x:c r="M35" s="151"/>
      <x:c r="N35" s="151"/>
      <x:c r="O35" s="151"/>
    </x:row>
    <x:row r="36" ht="23" customHeight="1">
      <x:c r="A36" s="151"/>
      <x:c r="B36" s="151"/>
      <x:c r="C36" s="151"/>
      <x:c r="D36" s="151"/>
      <x:c r="E36" s="151"/>
      <x:c r="F36" s="151" t="n">
        <x:v>20</x:v>
      </x:c>
      <x:c r="G36" s="180" t="n">
        <x:f>($B$9+$B$10*F36)/100</x:f>
        <x:v>1.1</x:v>
      </x:c>
      <x:c r="H36" s="180" t="n">
        <x:f>MIN(1,G36)</x:f>
        <x:v>1</x:v>
      </x:c>
      <x:c r="I36" s="180" t="n">
        <x:f>MAX(0,G36-1)</x:f>
        <x:v>0.10000000000000009</x:v>
      </x:c>
      <x:c r="J36" s="151" t="str">
        <x:f>IF(I36=0,"Prix réduit / plafond",IF(F36&lt;=17,"Matériau ou service",IF(F36&lt;=19,"Incident à résoudre","Quête majeure")))</x:f>
        <x:v>Quête majeure</x:v>
      </x:c>
      <x:c r="K36" s="151"/>
      <x:c r="L36" s="151"/>
      <x:c r="M36" s="151"/>
      <x:c r="N36" s="151"/>
      <x:c r="O36" s="151"/>
    </x:row>
    <x:row r="37" ht="22" customHeight="1">
      <x:c r="A37" s="151"/>
      <x:c r="B37" s="151"/>
      <x:c r="C37" s="151"/>
      <x:c r="D37" s="151"/>
      <x:c r="E37" s="151"/>
      <x:c r="F37" s="151"/>
      <x:c r="G37" s="151"/>
      <x:c r="H37" s="151"/>
      <x:c r="I37" s="151"/>
      <x:c r="J37" s="151"/>
      <x:c r="K37" s="151"/>
      <x:c r="L37" s="151"/>
      <x:c r="M37" s="151"/>
      <x:c r="N37" s="151"/>
      <x:c r="O37" s="151"/>
    </x:row>
    <x:row r="38" ht="29" customHeight="1">
      <x:c r="A38" s="183" t="str">
        <x:v>DEVIS — SAISIR LE TYPE, LE NIVEAU, LE d20 (zones bleutées)</x:v>
      </x:c>
      <x:c r="B38" s="183"/>
      <x:c r="C38" s="183"/>
      <x:c r="D38" s="183"/>
      <x:c r="E38" s="183"/>
      <x:c r="F38" s="183"/>
      <x:c r="G38" s="183"/>
      <x:c r="H38" s="183"/>
      <x:c r="I38" s="183"/>
      <x:c r="J38" s="183"/>
      <x:c r="K38" s="183"/>
      <x:c r="L38" s="183"/>
      <x:c r="M38" s="183"/>
      <x:c r="N38" s="183"/>
      <x:c r="O38" s="183"/>
    </x:row>
    <x:row r="39" ht="32" customHeight="1">
      <x:c r="A39" s="163" t="str">
        <x:v>Objet / opération</x:v>
      </x:c>
      <x:c r="B39" s="163" t="str">
        <x:v>Transaction</x:v>
      </x:c>
      <x:c r="C39" s="163" t="str">
        <x:v>Catégorie</x:v>
      </x:c>
      <x:c r="D39" s="163" t="str">
        <x:v>+B cible</x:v>
      </x:c>
      <x:c r="E39" s="163" t="str">
        <x:v>Slots cible</x:v>
      </x:c>
      <x:c r="F39" s="163" t="str">
        <x:v>N autonome</x:v>
      </x:c>
      <x:c r="G39" s="163" t="str">
        <x:v>N ancien</x:v>
      </x:c>
      <x:c r="H39" s="163" t="str">
        <x:v>N cible</x:v>
      </x:c>
      <x:c r="I39" s="163" t="str">
        <x:v>Prix plafond (po)</x:v>
      </x:c>
      <x:c r="J39" s="163" t="str">
        <x:v>d20</x:v>
      </x:c>
      <x:c r="K39" s="163" t="str">
        <x:v>Taux brut</x:v>
      </x:c>
      <x:c r="L39" s="163" t="str">
        <x:v>À payer (po)</x:v>
      </x:c>
      <x:c r="M39" s="163" t="str">
        <x:v>Aléa</x:v>
      </x:c>
      <x:c r="N39" s="163" t="str">
        <x:v>Contrôle</x:v>
      </x:c>
      <x:c r="O39" s="163" t="str">
        <x:v>Note MJ / statut</x:v>
      </x:c>
    </x:row>
    <x:row r="40" ht="28" customHeight="1">
      <x:c r="A40" s="165" t="str">
        <x:v>Arc +2, Sournoise et Frugale</x:v>
      </x:c>
      <x:c r="B40" s="151" t="str">
        <x:v>Forge neuve</x:v>
      </x:c>
      <x:c r="C40" s="151" t="str">
        <x:v>Arme</x:v>
      </x:c>
      <x:c r="D40" s="166" t="n">
        <x:v>2</x:v>
      </x:c>
      <x:c r="E40" s="166" t="n">
        <x:v>2</x:v>
      </x:c>
      <x:c r="F40" s="166"/>
      <x:c r="G40" s="166" t="n">
        <x:v>0</x:v>
      </x:c>
      <x:c r="H40" s="151" t="n">
        <x:f>IF(C40="","",IF(AND(ISNUMBER(F40),F40&gt;0),F40,IF(AND(ISNUMBER(D40),ISNUMBER(E40),D40&gt;0,E40&lt;=D40),D40*(D40+1)/2+E40,"")))</x:f>
        <x:v>5</x:v>
      </x:c>
      <x:c r="I40" s="178" t="n">
        <x:f>IF(N40&lt;&gt;"OK","",ROUND($B$5*(H40^2-N(G40)^2)*IF(C40="Arme",$B$6,IF(C40="Armure/bouclier",$B$7,$B$8)),0))</x:f>
        <x:v>25000</x:v>
      </x:c>
      <x:c r="J40" s="181" t="n">
        <x:v>15</x:v>
      </x:c>
      <x:c r="K40" s="180" t="n">
        <x:f>IF(I40="","",($B$9+$B$10*J40)/100)</x:f>
        <x:v>1</x:v>
      </x:c>
      <x:c r="L40" s="179" t="n">
        <x:f>IF(K40="","",ROUND(I40*MIN(1,K40),0))</x:f>
        <x:v>25000</x:v>
      </x:c>
      <x:c r="M40" s="151" t="str">
        <x:f>IF(K40="","",IF(K40&lt;=1,"Aucun",IF(J40&lt;=17,"Matériau / service",IF(J40&lt;=19,"Incident à résoudre","Quête majeure"))))</x:f>
        <x:v>Aucun</x:v>
      </x:c>
      <x:c r="N40" s="174" t="str">
        <x:f>IF(C40="","",IF(OR(J40="",J40&lt;$B$11,J40&gt;$B$12),"JET INVALIDE",IF(AND(ISNUMBER(D40),D40&gt;0,ISNUMBER(E40),E40&gt;D40),"SLOTS DÉPASSÉS",IF(H40="","N À DÉFINIR",IF(AND(ISNUMBER(G40),G40&gt;=H40),"NIVEAU ANCIEN ≥ CIBLE","OK")))))</x:f>
        <x:v>OK</x:v>
      </x:c>
      <x:c r="O40" s="165" t="str">
        <x:v>2/2 slots ; max = 25 000 po</x:v>
      </x:c>
    </x:row>
    <x:row r="41" ht="28" customHeight="1">
      <x:c r="A41" s="165" t="str">
        <x:v>Arme +1 → +2</x:v>
      </x:c>
      <x:c r="B41" s="151" t="str">
        <x:v>Amélioration</x:v>
      </x:c>
      <x:c r="C41" s="151" t="str">
        <x:v>Arme</x:v>
      </x:c>
      <x:c r="D41" s="166" t="n">
        <x:v>2</x:v>
      </x:c>
      <x:c r="E41" s="166" t="n">
        <x:v>0</x:v>
      </x:c>
      <x:c r="F41" s="166"/>
      <x:c r="G41" s="166" t="n">
        <x:v>1</x:v>
      </x:c>
      <x:c r="H41" s="151" t="n">
        <x:f>IF(C41="","",IF(AND(ISNUMBER(F41),F41&gt;0),F41,IF(AND(ISNUMBER(D41),ISNUMBER(E41),D41&gt;0,E41&lt;=D41),D41*(D41+1)/2+E41,"")))</x:f>
        <x:v>3</x:v>
      </x:c>
      <x:c r="I41" s="178" t="n">
        <x:f>IF(N41&lt;&gt;"OK","",ROUND($B$5*(H41^2-N(G41)^2)*IF(C41="Arme",$B$6,IF(C41="Armure/bouclier",$B$7,$B$8)),0))</x:f>
        <x:v>8000</x:v>
      </x:c>
      <x:c r="J41" s="181" t="n">
        <x:v>18</x:v>
      </x:c>
      <x:c r="K41" s="180" t="n">
        <x:f>IF(I41="","",($B$9+$B$10*J41)/100)</x:f>
        <x:v>1.06</x:v>
      </x:c>
      <x:c r="L41" s="179" t="n">
        <x:f>IF(K41="","",ROUND(I41*MIN(1,K41),0))</x:f>
        <x:v>8000</x:v>
      </x:c>
      <x:c r="M41" s="151" t="str">
        <x:f>IF(K41="","",IF(K41&lt;=1,"Aucun",IF(J41&lt;=17,"Matériau / service",IF(J41&lt;=19,"Incident à résoudre","Quête majeure"))))</x:f>
        <x:v>Incident à résoudre</x:v>
      </x:c>
      <x:c r="N41" s="174" t="str">
        <x:f>IF(C41="","",IF(OR(J41="",J41&lt;$B$11,J41&gt;$B$12),"JET INVALIDE",IF(AND(ISNUMBER(D41),D41&gt;0,ISNUMBER(E41),E41&gt;D41),"SLOTS DÉPASSÉS",IF(H41="","N À DÉFINIR",IF(AND(ISNUMBER(G41),G41&gt;=H41),"NIVEAU ANCIEN ≥ CIBLE","OK")))))</x:f>
        <x:v>OK</x:v>
      </x:c>
      <x:c r="O41" s="165" t="str">
        <x:v>Plafond de l'amélioration = 8 000 po</x:v>
      </x:c>
    </x:row>
    <x:row r="42" ht="28" customHeight="1">
      <x:c r="A42" s="165" t="str">
        <x:v>Cape de déplacement (classement indicatif)</x:v>
      </x:c>
      <x:c r="B42" s="151" t="str">
        <x:v>Achat</x:v>
      </x:c>
      <x:c r="C42" s="151" t="str">
        <x:v>Autre objet</x:v>
      </x:c>
      <x:c r="D42" s="166"/>
      <x:c r="E42" s="166"/>
      <x:c r="F42" s="166" t="n">
        <x:v>2</x:v>
      </x:c>
      <x:c r="G42" s="166" t="n">
        <x:v>0</x:v>
      </x:c>
      <x:c r="H42" s="151" t="n">
        <x:f>IF(C42="","",IF(AND(ISNUMBER(F42),F42&gt;0),F42,IF(AND(ISNUMBER(D42),ISNUMBER(E42),D42&gt;0,E42&lt;=D42),D42*(D42+1)/2+E42,"")))</x:f>
        <x:v>2</x:v>
      </x:c>
      <x:c r="I42" s="178" t="n">
        <x:f>IF(N42&lt;&gt;"OK","",ROUND($B$5*(H42^2-N(G42)^2)*IF(C42="Arme",$B$6,IF(C42="Armure/bouclier",$B$7,$B$8)),0))</x:f>
        <x:v>3200</x:v>
      </x:c>
      <x:c r="J42" s="181" t="n">
        <x:v>4</x:v>
      </x:c>
      <x:c r="K42" s="180" t="n">
        <x:f>IF(I42="","",($B$9+$B$10*J42)/100)</x:f>
        <x:v>0.78</x:v>
      </x:c>
      <x:c r="L42" s="179" t="n">
        <x:f>IF(K42="","",ROUND(I42*MIN(1,K42),0))</x:f>
        <x:v>2496</x:v>
      </x:c>
      <x:c r="M42" s="151" t="str">
        <x:f>IF(K42="","",IF(K42&lt;=1,"Aucun",IF(J42&lt;=17,"Matériau / service",IF(J42&lt;=19,"Incident à résoudre","Quête majeure"))))</x:f>
        <x:v>Aucun</x:v>
      </x:c>
      <x:c r="N42" s="174" t="str">
        <x:f>IF(C42="","",IF(OR(J42="",J42&lt;$B$11,J42&gt;$B$12),"JET INVALIDE",IF(AND(ISNUMBER(D42),D42&gt;0,ISNUMBER(E42),E42&gt;D42),"SLOTS DÉPASSÉS",IF(H42="","N À DÉFINIR",IF(AND(ISNUMBER(G42),G42&gt;=H42),"NIVEAU ANCIEN ≥ CIBLE","OK")))))</x:f>
        <x:v>OK</x:v>
      </x:c>
      <x:c r="O42" s="165" t="str">
        <x:v>N=2 est une hypothèse à valider, pas un prix officiel</x:v>
      </x:c>
    </x:row>
    <x:row r="43" ht="28" customHeight="1">
      <x:c r="A43" s="165" t="str">
        <x:v>Anneau de stockage (classement indicatif)</x:v>
      </x:c>
      <x:c r="B43" s="151" t="str">
        <x:v>Achat</x:v>
      </x:c>
      <x:c r="C43" s="151" t="str">
        <x:v>Autre objet</x:v>
      </x:c>
      <x:c r="D43" s="166"/>
      <x:c r="E43" s="166"/>
      <x:c r="F43" s="166" t="n">
        <x:v>3</x:v>
      </x:c>
      <x:c r="G43" s="166" t="n">
        <x:v>0</x:v>
      </x:c>
      <x:c r="H43" s="151" t="n">
        <x:f>IF(C43="","",IF(AND(ISNUMBER(F43),F43&gt;0),F43,IF(AND(ISNUMBER(D43),ISNUMBER(E43),D43&gt;0,E43&lt;=D43),D43*(D43+1)/2+E43,"")))</x:f>
        <x:v>3</x:v>
      </x:c>
      <x:c r="I43" s="178" t="n">
        <x:f>IF(N43&lt;&gt;"OK","",ROUND($B$5*(H43^2-N(G43)^2)*IF(C43="Arme",$B$6,IF(C43="Armure/bouclier",$B$7,$B$8)),0))</x:f>
        <x:v>7200</x:v>
      </x:c>
      <x:c r="J43" s="181" t="n">
        <x:v>10</x:v>
      </x:c>
      <x:c r="K43" s="180" t="n">
        <x:f>IF(I43="","",($B$9+$B$10*J43)/100)</x:f>
        <x:v>0.9</x:v>
      </x:c>
      <x:c r="L43" s="179" t="n">
        <x:f>IF(K43="","",ROUND(I43*MIN(1,K43),0))</x:f>
        <x:v>6480</x:v>
      </x:c>
      <x:c r="M43" s="151" t="str">
        <x:f>IF(K43="","",IF(K43&lt;=1,"Aucun",IF(J43&lt;=17,"Matériau / service",IF(J43&lt;=19,"Incident à résoudre","Quête majeure"))))</x:f>
        <x:v>Aucun</x:v>
      </x:c>
      <x:c r="N43" s="174" t="str">
        <x:f>IF(C43="","",IF(OR(J43="",J43&lt;$B$11,J43&gt;$B$12),"JET INVALIDE",IF(AND(ISNUMBER(D43),D43&gt;0,ISNUMBER(E43),E43&gt;D43),"SLOTS DÉPASSÉS",IF(H43="","N À DÉFINIR",IF(AND(ISNUMBER(G43),G43&gt;=H43),"NIVEAU ANCIEN ≥ CIBLE","OK")))))</x:f>
        <x:v>OK</x:v>
      </x:c>
      <x:c r="O43" s="165" t="str">
        <x:v>N=3 est une hypothèse à valider par le MJ</x:v>
      </x:c>
    </x:row>
    <x:row r="44" ht="28" customHeight="1">
      <x:c r="A44" s="165" t="str">
        <x:v>Armure +2 → +3</x:v>
      </x:c>
      <x:c r="B44" s="151" t="str">
        <x:v>Amélioration</x:v>
      </x:c>
      <x:c r="C44" s="151" t="str">
        <x:v>Armure/bouclier</x:v>
      </x:c>
      <x:c r="D44" s="166" t="n">
        <x:v>3</x:v>
      </x:c>
      <x:c r="E44" s="166" t="n">
        <x:v>0</x:v>
      </x:c>
      <x:c r="F44" s="166"/>
      <x:c r="G44" s="166" t="n">
        <x:v>3</x:v>
      </x:c>
      <x:c r="H44" s="151" t="n">
        <x:f>IF(C44="","",IF(AND(ISNUMBER(F44),F44&gt;0),F44,IF(AND(ISNUMBER(D44),ISNUMBER(E44),D44&gt;0,E44&lt;=D44),D44*(D44+1)/2+E44,"")))</x:f>
        <x:v>6</x:v>
      </x:c>
      <x:c r="I44" s="178" t="n">
        <x:f>IF(N44&lt;&gt;"OK","",ROUND($B$5*(H44^2-N(G44)^2)*IF(C44="Arme",$B$6,IF(C44="Armure/bouclier",$B$7,$B$8)),0))</x:f>
        <x:v>22950</x:v>
      </x:c>
      <x:c r="J44" s="181" t="n">
        <x:v>3</x:v>
      </x:c>
      <x:c r="K44" s="180" t="n">
        <x:f>IF(I44="","",($B$9+$B$10*J44)/100)</x:f>
        <x:v>0.76</x:v>
      </x:c>
      <x:c r="L44" s="179" t="n">
        <x:f>IF(K44="","",ROUND(I44*MIN(1,K44),0))</x:f>
        <x:v>17442</x:v>
      </x:c>
      <x:c r="M44" s="151" t="str">
        <x:f>IF(K44="","",IF(K44&lt;=1,"Aucun",IF(J44&lt;=17,"Matériau / service",IF(J44&lt;=19,"Incident à résoudre","Quête majeure"))))</x:f>
        <x:v>Aucun</x:v>
      </x:c>
      <x:c r="N44" s="174" t="str">
        <x:f>IF(C44="","",IF(OR(J44="",J44&lt;$B$11,J44&gt;$B$12),"JET INVALIDE",IF(AND(ISNUMBER(D44),D44&gt;0,ISNUMBER(E44),E44&gt;D44),"SLOTS DÉPASSÉS",IF(H44="","N À DÉFINIR",IF(AND(ISNUMBER(G44),G44&gt;=H44),"NIVEAU ANCIEN ≥ CIBLE","OK")))))</x:f>
        <x:v>OK</x:v>
      </x:c>
      <x:c r="O44" s="165" t="str">
        <x:v>Plafond = 22 950 po ; ancien prix 17 500 proche du d20=3</x:v>
      </x:c>
    </x:row>
    <x:row r="45" ht="28" customHeight="1">
      <x:c r="A45" s="165" t="str">
        <x:v>Arc +2, 3 slots (INTERDIT)</x:v>
      </x:c>
      <x:c r="B45" s="151" t="str">
        <x:v>Forge neuve</x:v>
      </x:c>
      <x:c r="C45" s="151" t="str">
        <x:v>Arme</x:v>
      </x:c>
      <x:c r="D45" s="166" t="n">
        <x:v>2</x:v>
      </x:c>
      <x:c r="E45" s="166" t="n">
        <x:v>3</x:v>
      </x:c>
      <x:c r="F45" s="166"/>
      <x:c r="G45" s="166" t="n">
        <x:v>0</x:v>
      </x:c>
      <x:c r="H45" s="151" t="str">
        <x:f>IF(C45="","",IF(AND(ISNUMBER(F45),F45&gt;0),F45,IF(AND(ISNUMBER(D45),ISNUMBER(E45),D45&gt;0,E45&lt;=D45),D45*(D45+1)/2+E45,"")))</x:f>
      </x:c>
      <x:c r="I45" s="178" t="str">
        <x:f>IF(N45&lt;&gt;"OK","",ROUND($B$5*(H45^2-N(G45)^2)*IF(C45="Arme",$B$6,IF(C45="Armure/bouclier",$B$7,$B$8)),0))</x:f>
      </x:c>
      <x:c r="J45" s="181" t="n">
        <x:v>10</x:v>
      </x:c>
      <x:c r="K45" s="180" t="str">
        <x:f>IF(I45="","",($B$9+$B$10*J45)/100)</x:f>
      </x:c>
      <x:c r="L45" s="179" t="str">
        <x:f>IF(K45="","",ROUND(I45*MIN(1,K45),0))</x:f>
      </x:c>
      <x:c r="M45" s="151" t="str">
        <x:f>IF(K45="","",IF(K45&lt;=1,"Aucun",IF(J45&lt;=17,"Matériau / service",IF(J45&lt;=19,"Incident à résoudre","Quête majeure"))))</x:f>
      </x:c>
      <x:c r="N45" s="174" t="str">
        <x:f>IF(C45="","",IF(OR(J45="",J45&lt;$B$11,J45&gt;$B$12),"JET INVALIDE",IF(AND(ISNUMBER(D45),D45&gt;0,ISNUMBER(E45),E45&gt;D45),"SLOTS DÉPASSÉS",IF(H45="","N À DÉFINIR",IF(AND(ISNUMBER(G45),G45&gt;=H45),"NIVEAU ANCIEN ≥ CIBLE","OK")))))</x:f>
        <x:v>SLOTS DÉPASSÉS</x:v>
      </x:c>
      <x:c r="O45" s="165" t="str">
        <x:v>Configuration interdite ; pas de prix</x:v>
      </x:c>
    </x:row>
    <x:row r="46" ht="28" customHeight="1">
      <x:c r="A46" s="165" t="str">
        <x:v>Bouclier +3 gardesort (+2 provisoire)</x:v>
      </x:c>
      <x:c r="B46" s="151" t="str">
        <x:v>Forge neuve</x:v>
      </x:c>
      <x:c r="C46" s="151" t="str">
        <x:v>Armure/bouclier</x:v>
      </x:c>
      <x:c r="D46" s="166" t="n">
        <x:v>3</x:v>
      </x:c>
      <x:c r="E46" s="166" t="n">
        <x:v>2</x:v>
      </x:c>
      <x:c r="F46" s="166"/>
      <x:c r="G46" s="166" t="n">
        <x:v>0</x:v>
      </x:c>
      <x:c r="H46" s="151" t="n">
        <x:f>IF(C46="","",IF(AND(ISNUMBER(F46),F46&gt;0),F46,IF(AND(ISNUMBER(D46),ISNUMBER(E46),D46&gt;0,E46&lt;=D46),D46*(D46+1)/2+E46,"")))</x:f>
        <x:v>8</x:v>
      </x:c>
      <x:c r="I46" s="178" t="n">
        <x:f>IF(N46&lt;&gt;"OK","",ROUND($B$5*(H46^2-N(G46)^2)*IF(C46="Arme",$B$6,IF(C46="Armure/bouclier",$B$7,$B$8)),0))</x:f>
        <x:v>54400</x:v>
      </x:c>
      <x:c r="J46" s="181" t="n">
        <x:v>20</x:v>
      </x:c>
      <x:c r="K46" s="180" t="n">
        <x:f>IF(I46="","",($B$9+$B$10*J46)/100)</x:f>
        <x:v>1.1</x:v>
      </x:c>
      <x:c r="L46" s="179" t="n">
        <x:f>IF(K46="","",ROUND(I46*MIN(1,K46),0))</x:f>
        <x:v>54400</x:v>
      </x:c>
      <x:c r="M46" s="151" t="str">
        <x:f>IF(K46="","",IF(K46&lt;=1,"Aucun",IF(J46&lt;=17,"Matériau / service",IF(J46&lt;=19,"Incident à résoudre","Quête majeure"))))</x:f>
        <x:v>Quête majeure</x:v>
      </x:c>
      <x:c r="N46" s="174" t="str">
        <x:f>IF(C46="","",IF(OR(J46="",J46&lt;$B$11,J46&gt;$B$12),"JET INVALIDE",IF(AND(ISNUMBER(D46),D46&gt;0,ISNUMBER(E46),E46&gt;D46),"SLOTS DÉPASSÉS",IF(H46="","N À DÉFINIR",IF(AND(ISNUMBER(G46),G46&gt;=H46),"NIVEAU ANCIEN ≥ CIBLE","OK")))))</x:f>
        <x:v>OK</x:v>
      </x:c>
      <x:c r="O46" s="165" t="str">
        <x:v>Slots gardesort encore à arbitrer</x:v>
      </x:c>
    </x:row>
    <x:row r="47" ht="28" customHeight="1">
      <x:c r="A47" s="165" t="str">
        <x:v>Objet autonome puissance 4</x:v>
      </x:c>
      <x:c r="B47" s="151" t="str">
        <x:v>Achat</x:v>
      </x:c>
      <x:c r="C47" s="151" t="str">
        <x:v>Autre objet</x:v>
      </x:c>
      <x:c r="D47" s="166"/>
      <x:c r="E47" s="166"/>
      <x:c r="F47" s="166" t="n">
        <x:v>4</x:v>
      </x:c>
      <x:c r="G47" s="166" t="n">
        <x:v>0</x:v>
      </x:c>
      <x:c r="H47" s="151" t="n">
        <x:f>IF(C47="","",IF(AND(ISNUMBER(F47),F47&gt;0),F47,IF(AND(ISNUMBER(D47),ISNUMBER(E47),D47&gt;0,E47&lt;=D47),D47*(D47+1)/2+E47,"")))</x:f>
        <x:v>4</x:v>
      </x:c>
      <x:c r="I47" s="178" t="n">
        <x:f>IF(N47&lt;&gt;"OK","",ROUND($B$5*(H47^2-N(G47)^2)*IF(C47="Arme",$B$6,IF(C47="Armure/bouclier",$B$7,$B$8)),0))</x:f>
        <x:v>12800</x:v>
      </x:c>
      <x:c r="J47" s="181" t="n">
        <x:v>20</x:v>
      </x:c>
      <x:c r="K47" s="180" t="n">
        <x:f>IF(I47="","",($B$9+$B$10*J47)/100)</x:f>
        <x:v>1.1</x:v>
      </x:c>
      <x:c r="L47" s="179" t="n">
        <x:f>IF(K47="","",ROUND(I47*MIN(1,K47),0))</x:f>
        <x:v>12800</x:v>
      </x:c>
      <x:c r="M47" s="151" t="str">
        <x:f>IF(K47="","",IF(K47&lt;=1,"Aucun",IF(J47&lt;=17,"Matériau / service",IF(J47&lt;=19,"Incident à résoudre","Quête majeure"))))</x:f>
        <x:v>Quête majeure</x:v>
      </x:c>
      <x:c r="N47" s="174" t="str">
        <x:f>IF(C47="","",IF(OR(J47="",J47&lt;$B$11,J47&gt;$B$12),"JET INVALIDE",IF(AND(ISNUMBER(D47),D47&gt;0,ISNUMBER(E47),E47&gt;D47),"SLOTS DÉPASSÉS",IF(H47="","N À DÉFINIR",IF(AND(ISNUMBER(G47),G47&gt;=H47),"NIVEAU ANCIEN ≥ CIBLE","OK")))))</x:f>
        <x:v>OK</x:v>
      </x:c>
      <x:c r="O47" s="165" t="str">
        <x:v>Exemple de quête au plafond financier</x:v>
      </x:c>
    </x:row>
    <x:row r="48" ht="28" customHeight="1">
      <x:c r="A48" s="165"/>
      <x:c r="B48" s="151"/>
      <x:c r="C48" s="151"/>
      <x:c r="D48" s="166"/>
      <x:c r="E48" s="166"/>
      <x:c r="F48" s="166"/>
      <x:c r="G48" s="166"/>
      <x:c r="H48" s="151" t="str">
        <x:f>IF(C48="","",IF(AND(ISNUMBER(F48),F48&gt;0),F48,IF(AND(ISNUMBER(D48),ISNUMBER(E48),D48&gt;0,E48&lt;=D48),D48*(D48+1)/2+E48,"")))</x:f>
      </x:c>
      <x:c r="I48" s="178" t="str">
        <x:f>IF(N48&lt;&gt;"OK","",ROUND($B$5*(H48^2-N(G48)^2)*IF(C48="Arme",$B$6,IF(C48="Armure/bouclier",$B$7,$B$8)),0))</x:f>
      </x:c>
      <x:c r="J48" s="181"/>
      <x:c r="K48" s="180" t="str">
        <x:f>IF(I48="","",($B$9+$B$10*J48)/100)</x:f>
      </x:c>
      <x:c r="L48" s="179" t="str">
        <x:f>IF(K48="","",ROUND(I48*MIN(1,K48),0))</x:f>
      </x:c>
      <x:c r="M48" s="151" t="str">
        <x:f>IF(K48="","",IF(K48&lt;=1,"Aucun",IF(J48&lt;=17,"Matériau / service",IF(J48&lt;=19,"Incident à résoudre","Quête majeure"))))</x:f>
      </x:c>
      <x:c r="N48" s="174" t="str">
        <x:f>IF(C48="","",IF(OR(J48="",J48&lt;$B$11,J48&gt;$B$12),"JET INVALIDE",IF(AND(ISNUMBER(D48),D48&gt;0,ISNUMBER(E48),E48&gt;D48),"SLOTS DÉPASSÉS",IF(H48="","N À DÉFINIR",IF(AND(ISNUMBER(G48),G48&gt;=H48),"NIVEAU ANCIEN ≥ CIBLE","OK")))))</x:f>
      </x:c>
      <x:c r="O48" s="165"/>
    </x:row>
    <x:row r="49" ht="28" customHeight="1">
      <x:c r="A49" s="165"/>
      <x:c r="B49" s="151"/>
      <x:c r="C49" s="151"/>
      <x:c r="D49" s="166"/>
      <x:c r="E49" s="166"/>
      <x:c r="F49" s="166"/>
      <x:c r="G49" s="166"/>
      <x:c r="H49" s="151" t="str">
        <x:f>IF(C49="","",IF(AND(ISNUMBER(F49),F49&gt;0),F49,IF(AND(ISNUMBER(D49),ISNUMBER(E49),D49&gt;0,E49&lt;=D49),D49*(D49+1)/2+E49,"")))</x:f>
      </x:c>
      <x:c r="I49" s="178" t="str">
        <x:f>IF(N49&lt;&gt;"OK","",ROUND($B$5*(H49^2-N(G49)^2)*IF(C49="Arme",$B$6,IF(C49="Armure/bouclier",$B$7,$B$8)),0))</x:f>
      </x:c>
      <x:c r="J49" s="181"/>
      <x:c r="K49" s="180" t="str">
        <x:f>IF(I49="","",($B$9+$B$10*J49)/100)</x:f>
      </x:c>
      <x:c r="L49" s="179" t="str">
        <x:f>IF(K49="","",ROUND(I49*MIN(1,K49),0))</x:f>
      </x:c>
      <x:c r="M49" s="151" t="str">
        <x:f>IF(K49="","",IF(K49&lt;=1,"Aucun",IF(J49&lt;=17,"Matériau / service",IF(J49&lt;=19,"Incident à résoudre","Quête majeure"))))</x:f>
      </x:c>
      <x:c r="N49" s="174" t="str">
        <x:f>IF(C49="","",IF(OR(J49="",J49&lt;$B$11,J49&gt;$B$12),"JET INVALIDE",IF(AND(ISNUMBER(D49),D49&gt;0,ISNUMBER(E49),E49&gt;D49),"SLOTS DÉPASSÉS",IF(H49="","N À DÉFINIR",IF(AND(ISNUMBER(G49),G49&gt;=H49),"NIVEAU ANCIEN ≥ CIBLE","OK")))))</x:f>
      </x:c>
      <x:c r="O49" s="165"/>
    </x:row>
    <x:row r="50" ht="28" customHeight="1">
      <x:c r="A50" s="165"/>
      <x:c r="B50" s="151"/>
      <x:c r="C50" s="151"/>
      <x:c r="D50" s="166"/>
      <x:c r="E50" s="166"/>
      <x:c r="F50" s="166"/>
      <x:c r="G50" s="166"/>
      <x:c r="H50" s="151" t="str">
        <x:f>IF(C50="","",IF(AND(ISNUMBER(F50),F50&gt;0),F50,IF(AND(ISNUMBER(D50),ISNUMBER(E50),D50&gt;0,E50&lt;=D50),D50*(D50+1)/2+E50,"")))</x:f>
      </x:c>
      <x:c r="I50" s="178" t="str">
        <x:f>IF(N50&lt;&gt;"OK","",ROUND($B$5*(H50^2-N(G50)^2)*IF(C50="Arme",$B$6,IF(C50="Armure/bouclier",$B$7,$B$8)),0))</x:f>
      </x:c>
      <x:c r="J50" s="181"/>
      <x:c r="K50" s="180" t="str">
        <x:f>IF(I50="","",($B$9+$B$10*J50)/100)</x:f>
      </x:c>
      <x:c r="L50" s="179" t="str">
        <x:f>IF(K50="","",ROUND(I50*MIN(1,K50),0))</x:f>
      </x:c>
      <x:c r="M50" s="151" t="str">
        <x:f>IF(K50="","",IF(K50&lt;=1,"Aucun",IF(J50&lt;=17,"Matériau / service",IF(J50&lt;=19,"Incident à résoudre","Quête majeure"))))</x:f>
      </x:c>
      <x:c r="N50" s="174" t="str">
        <x:f>IF(C50="","",IF(OR(J50="",J50&lt;$B$11,J50&gt;$B$12),"JET INVALIDE",IF(AND(ISNUMBER(D50),D50&gt;0,ISNUMBER(E50),E50&gt;D50),"SLOTS DÉPASSÉS",IF(H50="","N À DÉFINIR",IF(AND(ISNUMBER(G50),G50&gt;=H50),"NIVEAU ANCIEN ≥ CIBLE","OK")))))</x:f>
      </x:c>
      <x:c r="O50" s="165"/>
    </x:row>
    <x:row r="51" ht="28" customHeight="1">
      <x:c r="A51" s="165"/>
      <x:c r="B51" s="151"/>
      <x:c r="C51" s="151"/>
      <x:c r="D51" s="166"/>
      <x:c r="E51" s="166"/>
      <x:c r="F51" s="166"/>
      <x:c r="G51" s="166"/>
      <x:c r="H51" s="151" t="str">
        <x:f>IF(C51="","",IF(AND(ISNUMBER(F51),F51&gt;0),F51,IF(AND(ISNUMBER(D51),ISNUMBER(E51),D51&gt;0,E51&lt;=D51),D51*(D51+1)/2+E51,"")))</x:f>
      </x:c>
      <x:c r="I51" s="178" t="str">
        <x:f>IF(N51&lt;&gt;"OK","",ROUND($B$5*(H51^2-N(G51)^2)*IF(C51="Arme",$B$6,IF(C51="Armure/bouclier",$B$7,$B$8)),0))</x:f>
      </x:c>
      <x:c r="J51" s="181"/>
      <x:c r="K51" s="180" t="str">
        <x:f>IF(I51="","",($B$9+$B$10*J51)/100)</x:f>
      </x:c>
      <x:c r="L51" s="179" t="str">
        <x:f>IF(K51="","",ROUND(I51*MIN(1,K51),0))</x:f>
      </x:c>
      <x:c r="M51" s="151" t="str">
        <x:f>IF(K51="","",IF(K51&lt;=1,"Aucun",IF(J51&lt;=17,"Matériau / service",IF(J51&lt;=19,"Incident à résoudre","Quête majeure"))))</x:f>
      </x:c>
      <x:c r="N51" s="174" t="str">
        <x:f>IF(C51="","",IF(OR(J51="",J51&lt;$B$11,J51&gt;$B$12),"JET INVALIDE",IF(AND(ISNUMBER(D51),D51&gt;0,ISNUMBER(E51),E51&gt;D51),"SLOTS DÉPASSÉS",IF(H51="","N À DÉFINIR",IF(AND(ISNUMBER(G51),G51&gt;=H51),"NIVEAU ANCIEN ≥ CIBLE","OK")))))</x:f>
      </x:c>
      <x:c r="O51" s="165"/>
    </x:row>
    <x:row r="52" ht="28" customHeight="1">
      <x:c r="A52" s="165"/>
      <x:c r="B52" s="151"/>
      <x:c r="C52" s="151"/>
      <x:c r="D52" s="166"/>
      <x:c r="E52" s="166"/>
      <x:c r="F52" s="166"/>
      <x:c r="G52" s="166"/>
      <x:c r="H52" s="151" t="str">
        <x:f>IF(C52="","",IF(AND(ISNUMBER(F52),F52&gt;0),F52,IF(AND(ISNUMBER(D52),ISNUMBER(E52),D52&gt;0,E52&lt;=D52),D52*(D52+1)/2+E52,"")))</x:f>
      </x:c>
      <x:c r="I52" s="178" t="str">
        <x:f>IF(N52&lt;&gt;"OK","",ROUND($B$5*(H52^2-N(G52)^2)*IF(C52="Arme",$B$6,IF(C52="Armure/bouclier",$B$7,$B$8)),0))</x:f>
      </x:c>
      <x:c r="J52" s="181"/>
      <x:c r="K52" s="180" t="str">
        <x:f>IF(I52="","",($B$9+$B$10*J52)/100)</x:f>
      </x:c>
      <x:c r="L52" s="179" t="str">
        <x:f>IF(K52="","",ROUND(I52*MIN(1,K52),0))</x:f>
      </x:c>
      <x:c r="M52" s="151" t="str">
        <x:f>IF(K52="","",IF(K52&lt;=1,"Aucun",IF(J52&lt;=17,"Matériau / service",IF(J52&lt;=19,"Incident à résoudre","Quête majeure"))))</x:f>
      </x:c>
      <x:c r="N52" s="174" t="str">
        <x:f>IF(C52="","",IF(OR(J52="",J52&lt;$B$11,J52&gt;$B$12),"JET INVALIDE",IF(AND(ISNUMBER(D52),D52&gt;0,ISNUMBER(E52),E52&gt;D52),"SLOTS DÉPASSÉS",IF(H52="","N À DÉFINIR",IF(AND(ISNUMBER(G52),G52&gt;=H52),"NIVEAU ANCIEN ≥ CIBLE","OK")))))</x:f>
      </x:c>
      <x:c r="O52" s="165"/>
    </x:row>
    <x:row r="53" ht="28" customHeight="1">
      <x:c r="A53" s="165"/>
      <x:c r="B53" s="151"/>
      <x:c r="C53" s="151"/>
      <x:c r="D53" s="166"/>
      <x:c r="E53" s="166"/>
      <x:c r="F53" s="166"/>
      <x:c r="G53" s="166"/>
      <x:c r="H53" s="151" t="str">
        <x:f>IF(C53="","",IF(AND(ISNUMBER(F53),F53&gt;0),F53,IF(AND(ISNUMBER(D53),ISNUMBER(E53),D53&gt;0,E53&lt;=D53),D53*(D53+1)/2+E53,"")))</x:f>
      </x:c>
      <x:c r="I53" s="178" t="str">
        <x:f>IF(N53&lt;&gt;"OK","",ROUND($B$5*(H53^2-N(G53)^2)*IF(C53="Arme",$B$6,IF(C53="Armure/bouclier",$B$7,$B$8)),0))</x:f>
      </x:c>
      <x:c r="J53" s="181"/>
      <x:c r="K53" s="180" t="str">
        <x:f>IF(I53="","",($B$9+$B$10*J53)/100)</x:f>
      </x:c>
      <x:c r="L53" s="179" t="str">
        <x:f>IF(K53="","",ROUND(I53*MIN(1,K53),0))</x:f>
      </x:c>
      <x:c r="M53" s="151" t="str">
        <x:f>IF(K53="","",IF(K53&lt;=1,"Aucun",IF(J53&lt;=17,"Matériau / service",IF(J53&lt;=19,"Incident à résoudre","Quête majeure"))))</x:f>
      </x:c>
      <x:c r="N53" s="174" t="str">
        <x:f>IF(C53="","",IF(OR(J53="",J53&lt;$B$11,J53&gt;$B$12),"JET INVALIDE",IF(AND(ISNUMBER(D53),D53&gt;0,ISNUMBER(E53),E53&gt;D53),"SLOTS DÉPASSÉS",IF(H53="","N À DÉFINIR",IF(AND(ISNUMBER(G53),G53&gt;=H53),"NIVEAU ANCIEN ≥ CIBLE","OK")))))</x:f>
      </x:c>
      <x:c r="O53" s="165"/>
    </x:row>
    <x:row r="54" ht="28" customHeight="1">
      <x:c r="A54" s="165"/>
      <x:c r="B54" s="151"/>
      <x:c r="C54" s="151"/>
      <x:c r="D54" s="166"/>
      <x:c r="E54" s="166"/>
      <x:c r="F54" s="166"/>
      <x:c r="G54" s="166"/>
      <x:c r="H54" s="151" t="str">
        <x:f>IF(C54="","",IF(AND(ISNUMBER(F54),F54&gt;0),F54,IF(AND(ISNUMBER(D54),ISNUMBER(E54),D54&gt;0,E54&lt;=D54),D54*(D54+1)/2+E54,"")))</x:f>
      </x:c>
      <x:c r="I54" s="178" t="str">
        <x:f>IF(N54&lt;&gt;"OK","",ROUND($B$5*(H54^2-N(G54)^2)*IF(C54="Arme",$B$6,IF(C54="Armure/bouclier",$B$7,$B$8)),0))</x:f>
      </x:c>
      <x:c r="J54" s="181"/>
      <x:c r="K54" s="180" t="str">
        <x:f>IF(I54="","",($B$9+$B$10*J54)/100)</x:f>
      </x:c>
      <x:c r="L54" s="179" t="str">
        <x:f>IF(K54="","",ROUND(I54*MIN(1,K54),0))</x:f>
      </x:c>
      <x:c r="M54" s="151" t="str">
        <x:f>IF(K54="","",IF(K54&lt;=1,"Aucun",IF(J54&lt;=17,"Matériau / service",IF(J54&lt;=19,"Incident à résoudre","Quête majeure"))))</x:f>
      </x:c>
      <x:c r="N54" s="174" t="str">
        <x:f>IF(C54="","",IF(OR(J54="",J54&lt;$B$11,J54&gt;$B$12),"JET INVALIDE",IF(AND(ISNUMBER(D54),D54&gt;0,ISNUMBER(E54),E54&gt;D54),"SLOTS DÉPASSÉS",IF(H54="","N À DÉFINIR",IF(AND(ISNUMBER(G54),G54&gt;=H54),"NIVEAU ANCIEN ≥ CIBLE","OK")))))</x:f>
      </x:c>
      <x:c r="O54" s="165"/>
    </x:row>
    <x:row r="55" ht="28" customHeight="1">
      <x:c r="A55" s="165"/>
      <x:c r="B55" s="151"/>
      <x:c r="C55" s="151"/>
      <x:c r="D55" s="166"/>
      <x:c r="E55" s="166"/>
      <x:c r="F55" s="166"/>
      <x:c r="G55" s="166"/>
      <x:c r="H55" s="151" t="str">
        <x:f>IF(C55="","",IF(AND(ISNUMBER(F55),F55&gt;0),F55,IF(AND(ISNUMBER(D55),ISNUMBER(E55),D55&gt;0,E55&lt;=D55),D55*(D55+1)/2+E55,"")))</x:f>
      </x:c>
      <x:c r="I55" s="178" t="str">
        <x:f>IF(N55&lt;&gt;"OK","",ROUND($B$5*(H55^2-N(G55)^2)*IF(C55="Arme",$B$6,IF(C55="Armure/bouclier",$B$7,$B$8)),0))</x:f>
      </x:c>
      <x:c r="J55" s="181"/>
      <x:c r="K55" s="180" t="str">
        <x:f>IF(I55="","",($B$9+$B$10*J55)/100)</x:f>
      </x:c>
      <x:c r="L55" s="179" t="str">
        <x:f>IF(K55="","",ROUND(I55*MIN(1,K55),0))</x:f>
      </x:c>
      <x:c r="M55" s="151" t="str">
        <x:f>IF(K55="","",IF(K55&lt;=1,"Aucun",IF(J55&lt;=17,"Matériau / service",IF(J55&lt;=19,"Incident à résoudre","Quête majeure"))))</x:f>
      </x:c>
      <x:c r="N55" s="174" t="str">
        <x:f>IF(C55="","",IF(OR(J55="",J55&lt;$B$11,J55&gt;$B$12),"JET INVALIDE",IF(AND(ISNUMBER(D55),D55&gt;0,ISNUMBER(E55),E55&gt;D55),"SLOTS DÉPASSÉS",IF(H55="","N À DÉFINIR",IF(AND(ISNUMBER(G55),G55&gt;=H55),"NIVEAU ANCIEN ≥ CIBLE","OK")))))</x:f>
      </x:c>
      <x:c r="O55" s="165"/>
    </x:row>
    <x:row r="56" ht="28" customHeight="1">
      <x:c r="A56" s="165"/>
      <x:c r="B56" s="151"/>
      <x:c r="C56" s="151"/>
      <x:c r="D56" s="166"/>
      <x:c r="E56" s="166"/>
      <x:c r="F56" s="166"/>
      <x:c r="G56" s="166"/>
      <x:c r="H56" s="151" t="str">
        <x:f>IF(C56="","",IF(AND(ISNUMBER(F56),F56&gt;0),F56,IF(AND(ISNUMBER(D56),ISNUMBER(E56),D56&gt;0,E56&lt;=D56),D56*(D56+1)/2+E56,"")))</x:f>
      </x:c>
      <x:c r="I56" s="178" t="str">
        <x:f>IF(N56&lt;&gt;"OK","",ROUND($B$5*(H56^2-N(G56)^2)*IF(C56="Arme",$B$6,IF(C56="Armure/bouclier",$B$7,$B$8)),0))</x:f>
      </x:c>
      <x:c r="J56" s="181"/>
      <x:c r="K56" s="180" t="str">
        <x:f>IF(I56="","",($B$9+$B$10*J56)/100)</x:f>
      </x:c>
      <x:c r="L56" s="179" t="str">
        <x:f>IF(K56="","",ROUND(I56*MIN(1,K56),0))</x:f>
      </x:c>
      <x:c r="M56" s="151" t="str">
        <x:f>IF(K56="","",IF(K56&lt;=1,"Aucun",IF(J56&lt;=17,"Matériau / service",IF(J56&lt;=19,"Incident à résoudre","Quête majeure"))))</x:f>
      </x:c>
      <x:c r="N56" s="174" t="str">
        <x:f>IF(C56="","",IF(OR(J56="",J56&lt;$B$11,J56&gt;$B$12),"JET INVALIDE",IF(AND(ISNUMBER(D56),D56&gt;0,ISNUMBER(E56),E56&gt;D56),"SLOTS DÉPASSÉS",IF(H56="","N À DÉFINIR",IF(AND(ISNUMBER(G56),G56&gt;=H56),"NIVEAU ANCIEN ≥ CIBLE","OK")))))</x:f>
      </x:c>
      <x:c r="O56" s="165"/>
    </x:row>
    <x:row r="57" ht="28" customHeight="1">
      <x:c r="A57" s="165"/>
      <x:c r="B57" s="151"/>
      <x:c r="C57" s="151"/>
      <x:c r="D57" s="166"/>
      <x:c r="E57" s="166"/>
      <x:c r="F57" s="166"/>
      <x:c r="G57" s="166"/>
      <x:c r="H57" s="151" t="str">
        <x:f>IF(C57="","",IF(AND(ISNUMBER(F57),F57&gt;0),F57,IF(AND(ISNUMBER(D57),ISNUMBER(E57),D57&gt;0,E57&lt;=D57),D57*(D57+1)/2+E57,"")))</x:f>
      </x:c>
      <x:c r="I57" s="178" t="str">
        <x:f>IF(N57&lt;&gt;"OK","",ROUND($B$5*(H57^2-N(G57)^2)*IF(C57="Arme",$B$6,IF(C57="Armure/bouclier",$B$7,$B$8)),0))</x:f>
      </x:c>
      <x:c r="J57" s="181"/>
      <x:c r="K57" s="180" t="str">
        <x:f>IF(I57="","",($B$9+$B$10*J57)/100)</x:f>
      </x:c>
      <x:c r="L57" s="179" t="str">
        <x:f>IF(K57="","",ROUND(I57*MIN(1,K57),0))</x:f>
      </x:c>
      <x:c r="M57" s="151" t="str">
        <x:f>IF(K57="","",IF(K57&lt;=1,"Aucun",IF(J57&lt;=17,"Matériau / service",IF(J57&lt;=19,"Incident à résoudre","Quête majeure"))))</x:f>
      </x:c>
      <x:c r="N57" s="174" t="str">
        <x:f>IF(C57="","",IF(OR(J57="",J57&lt;$B$11,J57&gt;$B$12),"JET INVALIDE",IF(AND(ISNUMBER(D57),D57&gt;0,ISNUMBER(E57),E57&gt;D57),"SLOTS DÉPASSÉS",IF(H57="","N À DÉFINIR",IF(AND(ISNUMBER(G57),G57&gt;=H57),"NIVEAU ANCIEN ≥ CIBLE","OK")))))</x:f>
      </x:c>
      <x:c r="O57" s="165"/>
    </x:row>
    <x:row r="58" ht="28" customHeight="1">
      <x:c r="A58" s="165"/>
      <x:c r="B58" s="151"/>
      <x:c r="C58" s="151"/>
      <x:c r="D58" s="166"/>
      <x:c r="E58" s="166"/>
      <x:c r="F58" s="166"/>
      <x:c r="G58" s="166"/>
      <x:c r="H58" s="151" t="str">
        <x:f>IF(C58="","",IF(AND(ISNUMBER(F58),F58&gt;0),F58,IF(AND(ISNUMBER(D58),ISNUMBER(E58),D58&gt;0,E58&lt;=D58),D58*(D58+1)/2+E58,"")))</x:f>
      </x:c>
      <x:c r="I58" s="178" t="str">
        <x:f>IF(N58&lt;&gt;"OK","",ROUND($B$5*(H58^2-N(G58)^2)*IF(C58="Arme",$B$6,IF(C58="Armure/bouclier",$B$7,$B$8)),0))</x:f>
      </x:c>
      <x:c r="J58" s="181"/>
      <x:c r="K58" s="180" t="str">
        <x:f>IF(I58="","",($B$9+$B$10*J58)/100)</x:f>
      </x:c>
      <x:c r="L58" s="179" t="str">
        <x:f>IF(K58="","",ROUND(I58*MIN(1,K58),0))</x:f>
      </x:c>
      <x:c r="M58" s="151" t="str">
        <x:f>IF(K58="","",IF(K58&lt;=1,"Aucun",IF(J58&lt;=17,"Matériau / service",IF(J58&lt;=19,"Incident à résoudre","Quête majeure"))))</x:f>
      </x:c>
      <x:c r="N58" s="174" t="str">
        <x:f>IF(C58="","",IF(OR(J58="",J58&lt;$B$11,J58&gt;$B$12),"JET INVALIDE",IF(AND(ISNUMBER(D58),D58&gt;0,ISNUMBER(E58),E58&gt;D58),"SLOTS DÉPASSÉS",IF(H58="","N À DÉFINIR",IF(AND(ISNUMBER(G58),G58&gt;=H58),"NIVEAU ANCIEN ≥ CIBLE","OK")))))</x:f>
      </x:c>
      <x:c r="O58" s="165"/>
    </x:row>
    <x:row r="59" ht="28" customHeight="1">
      <x:c r="A59" s="165"/>
      <x:c r="B59" s="151"/>
      <x:c r="C59" s="151"/>
      <x:c r="D59" s="166"/>
      <x:c r="E59" s="166"/>
      <x:c r="F59" s="166"/>
      <x:c r="G59" s="166"/>
      <x:c r="H59" s="151" t="str">
        <x:f>IF(C59="","",IF(AND(ISNUMBER(F59),F59&gt;0),F59,IF(AND(ISNUMBER(D59),ISNUMBER(E59),D59&gt;0,E59&lt;=D59),D59*(D59+1)/2+E59,"")))</x:f>
      </x:c>
      <x:c r="I59" s="178" t="str">
        <x:f>IF(N59&lt;&gt;"OK","",ROUND($B$5*(H59^2-N(G59)^2)*IF(C59="Arme",$B$6,IF(C59="Armure/bouclier",$B$7,$B$8)),0))</x:f>
      </x:c>
      <x:c r="J59" s="181"/>
      <x:c r="K59" s="180" t="str">
        <x:f>IF(I59="","",($B$9+$B$10*J59)/100)</x:f>
      </x:c>
      <x:c r="L59" s="179" t="str">
        <x:f>IF(K59="","",ROUND(I59*MIN(1,K59),0))</x:f>
      </x:c>
      <x:c r="M59" s="151" t="str">
        <x:f>IF(K59="","",IF(K59&lt;=1,"Aucun",IF(J59&lt;=17,"Matériau / service",IF(J59&lt;=19,"Incident à résoudre","Quête majeure"))))</x:f>
      </x:c>
      <x:c r="N59" s="174" t="str">
        <x:f>IF(C59="","",IF(OR(J59="",J59&lt;$B$11,J59&gt;$B$12),"JET INVALIDE",IF(AND(ISNUMBER(D59),D59&gt;0,ISNUMBER(E59),E59&gt;D59),"SLOTS DÉPASSÉS",IF(H59="","N À DÉFINIR",IF(AND(ISNUMBER(G59),G59&gt;=H59),"NIVEAU ANCIEN ≥ CIBLE","OK")))))</x:f>
      </x:c>
      <x:c r="O59" s="165"/>
    </x:row>
    <x:row r="60" ht="28" customHeight="1">
      <x:c r="A60" s="165"/>
      <x:c r="B60" s="151"/>
      <x:c r="C60" s="151"/>
      <x:c r="D60" s="166"/>
      <x:c r="E60" s="166"/>
      <x:c r="F60" s="166"/>
      <x:c r="G60" s="166"/>
      <x:c r="H60" s="151" t="str">
        <x:f>IF(C60="","",IF(AND(ISNUMBER(F60),F60&gt;0),F60,IF(AND(ISNUMBER(D60),ISNUMBER(E60),D60&gt;0,E60&lt;=D60),D60*(D60+1)/2+E60,"")))</x:f>
      </x:c>
      <x:c r="I60" s="178" t="str">
        <x:f>IF(N60&lt;&gt;"OK","",ROUND($B$5*(H60^2-N(G60)^2)*IF(C60="Arme",$B$6,IF(C60="Armure/bouclier",$B$7,$B$8)),0))</x:f>
      </x:c>
      <x:c r="J60" s="181"/>
      <x:c r="K60" s="180" t="str">
        <x:f>IF(I60="","",($B$9+$B$10*J60)/100)</x:f>
      </x:c>
      <x:c r="L60" s="179" t="str">
        <x:f>IF(K60="","",ROUND(I60*MIN(1,K60),0))</x:f>
      </x:c>
      <x:c r="M60" s="151" t="str">
        <x:f>IF(K60="","",IF(K60&lt;=1,"Aucun",IF(J60&lt;=17,"Matériau / service",IF(J60&lt;=19,"Incident à résoudre","Quête majeure"))))</x:f>
      </x:c>
      <x:c r="N60" s="174" t="str">
        <x:f>IF(C60="","",IF(OR(J60="",J60&lt;$B$11,J60&gt;$B$12),"JET INVALIDE",IF(AND(ISNUMBER(D60),D60&gt;0,ISNUMBER(E60),E60&gt;D60),"SLOTS DÉPASSÉS",IF(H60="","N À DÉFINIR",IF(AND(ISNUMBER(G60),G60&gt;=H60),"NIVEAU ANCIEN ≥ CIBLE","OK")))))</x:f>
      </x:c>
      <x:c r="O60" s="165"/>
    </x:row>
    <x:row r="61" ht="28" customHeight="1">
      <x:c r="A61" s="165"/>
      <x:c r="B61" s="151"/>
      <x:c r="C61" s="151"/>
      <x:c r="D61" s="166"/>
      <x:c r="E61" s="166"/>
      <x:c r="F61" s="166"/>
      <x:c r="G61" s="166"/>
      <x:c r="H61" s="151" t="str">
        <x:f>IF(C61="","",IF(AND(ISNUMBER(F61),F61&gt;0),F61,IF(AND(ISNUMBER(D61),ISNUMBER(E61),D61&gt;0,E61&lt;=D61),D61*(D61+1)/2+E61,"")))</x:f>
      </x:c>
      <x:c r="I61" s="178" t="str">
        <x:f>IF(N61&lt;&gt;"OK","",ROUND($B$5*(H61^2-N(G61)^2)*IF(C61="Arme",$B$6,IF(C61="Armure/bouclier",$B$7,$B$8)),0))</x:f>
      </x:c>
      <x:c r="J61" s="181"/>
      <x:c r="K61" s="180" t="str">
        <x:f>IF(I61="","",($B$9+$B$10*J61)/100)</x:f>
      </x:c>
      <x:c r="L61" s="179" t="str">
        <x:f>IF(K61="","",ROUND(I61*MIN(1,K61),0))</x:f>
      </x:c>
      <x:c r="M61" s="151" t="str">
        <x:f>IF(K61="","",IF(K61&lt;=1,"Aucun",IF(J61&lt;=17,"Matériau / service",IF(J61&lt;=19,"Incident à résoudre","Quête majeure"))))</x:f>
      </x:c>
      <x:c r="N61" s="174" t="str">
        <x:f>IF(C61="","",IF(OR(J61="",J61&lt;$B$11,J61&gt;$B$12),"JET INVALIDE",IF(AND(ISNUMBER(D61),D61&gt;0,ISNUMBER(E61),E61&gt;D61),"SLOTS DÉPASSÉS",IF(H61="","N À DÉFINIR",IF(AND(ISNUMBER(G61),G61&gt;=H61),"NIVEAU ANCIEN ≥ CIBLE","OK")))))</x:f>
      </x:c>
      <x:c r="O61" s="165"/>
    </x:row>
    <x:row r="62" ht="28" customHeight="1">
      <x:c r="A62" s="165"/>
      <x:c r="B62" s="151"/>
      <x:c r="C62" s="151"/>
      <x:c r="D62" s="166"/>
      <x:c r="E62" s="166"/>
      <x:c r="F62" s="166"/>
      <x:c r="G62" s="166"/>
      <x:c r="H62" s="151" t="str">
        <x:f>IF(C62="","",IF(AND(ISNUMBER(F62),F62&gt;0),F62,IF(AND(ISNUMBER(D62),ISNUMBER(E62),D62&gt;0,E62&lt;=D62),D62*(D62+1)/2+E62,"")))</x:f>
      </x:c>
      <x:c r="I62" s="178" t="str">
        <x:f>IF(N62&lt;&gt;"OK","",ROUND($B$5*(H62^2-N(G62)^2)*IF(C62="Arme",$B$6,IF(C62="Armure/bouclier",$B$7,$B$8)),0))</x:f>
      </x:c>
      <x:c r="J62" s="181"/>
      <x:c r="K62" s="180" t="str">
        <x:f>IF(I62="","",($B$9+$B$10*J62)/100)</x:f>
      </x:c>
      <x:c r="L62" s="179" t="str">
        <x:f>IF(K62="","",ROUND(I62*MIN(1,K62),0))</x:f>
      </x:c>
      <x:c r="M62" s="151" t="str">
        <x:f>IF(K62="","",IF(K62&lt;=1,"Aucun",IF(J62&lt;=17,"Matériau / service",IF(J62&lt;=19,"Incident à résoudre","Quête majeure"))))</x:f>
      </x:c>
      <x:c r="N62" s="174" t="str">
        <x:f>IF(C62="","",IF(OR(J62="",J62&lt;$B$11,J62&gt;$B$12),"JET INVALIDE",IF(AND(ISNUMBER(D62),D62&gt;0,ISNUMBER(E62),E62&gt;D62),"SLOTS DÉPASSÉS",IF(H62="","N À DÉFINIR",IF(AND(ISNUMBER(G62),G62&gt;=H62),"NIVEAU ANCIEN ≥ CIBLE","OK")))))</x:f>
      </x:c>
      <x:c r="O62" s="165"/>
    </x:row>
    <x:row r="63" ht="28" customHeight="1">
      <x:c r="A63" s="165"/>
      <x:c r="B63" s="151"/>
      <x:c r="C63" s="151"/>
      <x:c r="D63" s="166"/>
      <x:c r="E63" s="166"/>
      <x:c r="F63" s="166"/>
      <x:c r="G63" s="166"/>
      <x:c r="H63" s="151" t="str">
        <x:f>IF(C63="","",IF(AND(ISNUMBER(F63),F63&gt;0),F63,IF(AND(ISNUMBER(D63),ISNUMBER(E63),D63&gt;0,E63&lt;=D63),D63*(D63+1)/2+E63,"")))</x:f>
      </x:c>
      <x:c r="I63" s="178" t="str">
        <x:f>IF(N63&lt;&gt;"OK","",ROUND($B$5*(H63^2-N(G63)^2)*IF(C63="Arme",$B$6,IF(C63="Armure/bouclier",$B$7,$B$8)),0))</x:f>
      </x:c>
      <x:c r="J63" s="181"/>
      <x:c r="K63" s="180" t="str">
        <x:f>IF(I63="","",($B$9+$B$10*J63)/100)</x:f>
      </x:c>
      <x:c r="L63" s="179" t="str">
        <x:f>IF(K63="","",ROUND(I63*MIN(1,K63),0))</x:f>
      </x:c>
      <x:c r="M63" s="151" t="str">
        <x:f>IF(K63="","",IF(K63&lt;=1,"Aucun",IF(J63&lt;=17,"Matériau / service",IF(J63&lt;=19,"Incident à résoudre","Quête majeure"))))</x:f>
      </x:c>
      <x:c r="N63" s="174" t="str">
        <x:f>IF(C63="","",IF(OR(J63="",J63&lt;$B$11,J63&gt;$B$12),"JET INVALIDE",IF(AND(ISNUMBER(D63),D63&gt;0,ISNUMBER(E63),E63&gt;D63),"SLOTS DÉPASSÉS",IF(H63="","N À DÉFINIR",IF(AND(ISNUMBER(G63),G63&gt;=H63),"NIVEAU ANCIEN ≥ CIBLE","OK")))))</x:f>
      </x:c>
      <x:c r="O63" s="165"/>
    </x:row>
    <x:row r="64" ht="28" customHeight="1">
      <x:c r="A64" s="165"/>
      <x:c r="B64" s="151"/>
      <x:c r="C64" s="151"/>
      <x:c r="D64" s="166"/>
      <x:c r="E64" s="166"/>
      <x:c r="F64" s="166"/>
      <x:c r="G64" s="166"/>
      <x:c r="H64" s="151" t="str">
        <x:f>IF(C64="","",IF(AND(ISNUMBER(F64),F64&gt;0),F64,IF(AND(ISNUMBER(D64),ISNUMBER(E64),D64&gt;0,E64&lt;=D64),D64*(D64+1)/2+E64,"")))</x:f>
      </x:c>
      <x:c r="I64" s="178" t="str">
        <x:f>IF(N64&lt;&gt;"OK","",ROUND($B$5*(H64^2-N(G64)^2)*IF(C64="Arme",$B$6,IF(C64="Armure/bouclier",$B$7,$B$8)),0))</x:f>
      </x:c>
      <x:c r="J64" s="181"/>
      <x:c r="K64" s="180" t="str">
        <x:f>IF(I64="","",($B$9+$B$10*J64)/100)</x:f>
      </x:c>
      <x:c r="L64" s="179" t="str">
        <x:f>IF(K64="","",ROUND(I64*MIN(1,K64),0))</x:f>
      </x:c>
      <x:c r="M64" s="151" t="str">
        <x:f>IF(K64="","",IF(K64&lt;=1,"Aucun",IF(J64&lt;=17,"Matériau / service",IF(J64&lt;=19,"Incident à résoudre","Quête majeure"))))</x:f>
      </x:c>
      <x:c r="N64" s="174" t="str">
        <x:f>IF(C64="","",IF(OR(J64="",J64&lt;$B$11,J64&gt;$B$12),"JET INVALIDE",IF(AND(ISNUMBER(D64),D64&gt;0,ISNUMBER(E64),E64&gt;D64),"SLOTS DÉPASSÉS",IF(H64="","N À DÉFINIR",IF(AND(ISNUMBER(G64),G64&gt;=H64),"NIVEAU ANCIEN ≥ CIBLE","OK")))))</x:f>
      </x:c>
      <x:c r="O64" s="165"/>
    </x:row>
    <x:row r="65" ht="22" customHeight="1">
      <x:c r="A65" s="151"/>
      <x:c r="B65" s="151"/>
      <x:c r="C65" s="151"/>
      <x:c r="D65" s="151"/>
      <x:c r="E65" s="151"/>
      <x:c r="F65" s="151"/>
      <x:c r="G65" s="151"/>
      <x:c r="H65" s="151"/>
      <x:c r="I65" s="151"/>
      <x:c r="J65" s="151"/>
      <x:c r="K65" s="151"/>
      <x:c r="L65" s="151"/>
      <x:c r="M65" s="151"/>
      <x:c r="N65" s="151"/>
      <x:c r="O65" s="151"/>
    </x:row>
    <x:row r="66" ht="22" customHeight="1">
      <x:c r="A66" s="151"/>
      <x:c r="B66" s="151"/>
      <x:c r="C66" s="151"/>
      <x:c r="D66" s="151"/>
      <x:c r="E66" s="151"/>
      <x:c r="F66" s="151"/>
      <x:c r="G66" s="151"/>
      <x:c r="H66" s="151"/>
      <x:c r="I66" s="151"/>
      <x:c r="J66" s="151"/>
      <x:c r="K66" s="151"/>
      <x:c r="L66" s="151"/>
      <x:c r="M66" s="151"/>
      <x:c r="N66" s="151"/>
      <x:c r="O66" s="151"/>
    </x:row>
    <x:row r="67" ht="29" customHeight="1">
      <x:c r="A67" s="176" t="str">
        <x:v>IMPORTANT — LES NIVEAUX ATTRIBUÉS AUX OBJETS AUTONOMES SONT DES EXEMPLES ; UNE VALIDATION MJ EST REQUISE.</x:v>
      </x:c>
      <x:c r="B67" s="176"/>
      <x:c r="C67" s="176"/>
      <x:c r="D67" s="176"/>
      <x:c r="E67" s="176"/>
      <x:c r="F67" s="176"/>
      <x:c r="G67" s="176"/>
      <x:c r="H67" s="176"/>
      <x:c r="I67" s="176"/>
      <x:c r="J67" s="176"/>
      <x:c r="K67" s="176"/>
      <x:c r="L67" s="176"/>
      <x:c r="M67" s="176"/>
      <x:c r="N67" s="176"/>
      <x:c r="O67" s="176"/>
    </x:row>
  </x:sheetData>
  <x:mergeCells>
    <x:mergeCell ref="A1:O1"/>
    <x:mergeCell ref="A2:O2"/>
    <x:mergeCell ref="D4:F4"/>
    <x:mergeCell ref="E5:O5"/>
    <x:mergeCell ref="E6:O6"/>
    <x:mergeCell ref="E7:O7"/>
    <x:mergeCell ref="E8:O8"/>
    <x:mergeCell ref="E9:O9"/>
    <x:mergeCell ref="E10:O10"/>
    <x:mergeCell ref="E11:O11"/>
    <x:mergeCell ref="E12:O12"/>
    <x:mergeCell ref="K22:O24"/>
    <x:mergeCell ref="A38:O38"/>
    <x:mergeCell ref="A67:O67"/>
    <x:mergeCell ref="F15:J15"/>
    <x:mergeCell ref="L16:O16"/>
    <x:mergeCell ref="L17:O17"/>
    <x:mergeCell ref="L18:O18"/>
    <x:mergeCell ref="L19:O19"/>
    <x:mergeCell ref="L20:O20"/>
  </x:mergeCells>
  <x:conditionalFormatting sqref="I40:I64">
    <x:cfRule type="dataBar" priority="1">
      <x:dataBar>
        <x:cfvo type="min"/>
        <x:cfvo type="max"/>
        <x:color rgb="FF89BCD0"/>
      </x:dataBar>
      <x:extLst>
        <x:ext xmlns:x14="http://schemas.microsoft.com/office/spreadsheetml/2009/9/main" uri="{B025F937-C7B1-47D3-B67F-A62EFF666E3E}">
          <x14:id>{72CA9377-42A3-5A34-CD69-AFF3B31CF7E4}</x14:id>
        </x:ext>
      </x:extLst>
    </x:cfRule>
  </x:conditionalFormatting>
  <x:conditionalFormatting sqref="N40:N64">
    <x:cfRule type="expression" dxfId="6" priority="2">
      <x:formula>AND(N40&lt;&gt;"",N40&lt;&gt;"OK")</x:formula>
    </x:cfRule>
  </x:conditionalFormatting>
  <x:conditionalFormatting sqref="M40:M64">
    <x:cfRule type="expression" dxfId="7" priority="3">
      <x:formula>AND(M40&lt;&gt;"",M40&lt;&gt;"Aucun")</x:formula>
    </x:cfRule>
  </x:conditionalFormatting>
  <x:dataValidations count="2">
    <x:dataValidation type="list" sqref="C40:C64">
      <x:formula1>"Arme,Armure/bouclier,Autre objet"</x:formula1>
    </x:dataValidation>
    <x:dataValidation type="list" sqref="B40:B64">
      <x:formula1>"Achat,Forge neuve,Amélioration"</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2CA9377-42A3-5A34-CD69-AFF3B31CF7E4}">
            <x14:dataBar gradient="1">
              <x14:cfvo type="min"/>
              <x14:cfvo type="max"/>
              <x14:fillColor rgb="FF89BCD0"/>
            </x14:dataBar>
          </x14:cfRule>
          <xm:sqref>I40:I64</xm:sqref>
        </x14:conditionalFormatting>
      </x14:conditionalFormattings>
    </x:ext>
  </x:extLst>
</x:worksheet>
</file>