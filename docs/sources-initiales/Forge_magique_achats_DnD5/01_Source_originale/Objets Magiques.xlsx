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ègles" sheetId="1" r:id="rId4"/>
    <sheet state="visible" name="Thibault" sheetId="2" r:id="rId5"/>
    <sheet state="visible" name="Thaïs" sheetId="3" r:id="rId6"/>
    <sheet state="visible" name="Nono" sheetId="4" r:id="rId7"/>
    <sheet state="visible" name="Flo" sheetId="5" r:id="rId8"/>
    <sheet state="visible" name="Marty" sheetId="6" r:id="rId9"/>
  </sheets>
  <definedNames/>
  <calcPr/>
</workbook>
</file>

<file path=xl/sharedStrings.xml><?xml version="1.0" encoding="utf-8"?>
<sst xmlns="http://schemas.openxmlformats.org/spreadsheetml/2006/main" count="503" uniqueCount="323">
  <si>
    <t>nom</t>
  </si>
  <si>
    <t xml:space="preserve">Rappels des prix </t>
  </si>
  <si>
    <t>POUR MOI - MJ PEUT IGNORER</t>
  </si>
  <si>
    <t>Priorité</t>
  </si>
  <si>
    <t>lien?</t>
  </si>
  <si>
    <t>Objet</t>
  </si>
  <si>
    <t>Valeur</t>
  </si>
  <si>
    <t>source</t>
  </si>
  <si>
    <t xml:space="preserve">Rareté </t>
  </si>
  <si>
    <t>retenu?</t>
  </si>
  <si>
    <t>Prix gemmaline</t>
  </si>
  <si>
    <t>Prix</t>
  </si>
  <si>
    <t>Source</t>
  </si>
  <si>
    <t>Prix Bazire</t>
  </si>
  <si>
    <t>Min</t>
  </si>
  <si>
    <t>Max</t>
  </si>
  <si>
    <t>Bâton des forets</t>
  </si>
  <si>
    <t>Rare</t>
  </si>
  <si>
    <t>Non commun</t>
  </si>
  <si>
    <t>Aide dd</t>
  </si>
  <si>
    <t>OK</t>
  </si>
  <si>
    <t>1 lien</t>
  </si>
  <si>
    <t>bourse de l'opossum</t>
  </si>
  <si>
    <t>non?</t>
  </si>
  <si>
    <t>Chasuble de druide</t>
  </si>
  <si>
    <t>gemmaline</t>
  </si>
  <si>
    <t>oui</t>
  </si>
  <si>
    <t>10 000PO</t>
  </si>
  <si>
    <t>Très rare</t>
  </si>
  <si>
    <t>Prix à la forge (arme)</t>
  </si>
  <si>
    <t>Sceptre de garant du pacte</t>
  </si>
  <si>
    <t>Bonus d'altération</t>
  </si>
  <si>
    <t>Nombre d'effets/sockets</t>
  </si>
  <si>
    <t>Prix pour armures et boucliers</t>
  </si>
  <si>
    <t>Prix pour objets (?)</t>
  </si>
  <si>
    <t>Anneau soin mystique</t>
  </si>
  <si>
    <t>3500PO</t>
  </si>
  <si>
    <t>Gemmaline</t>
  </si>
  <si>
    <t>Construire par rapport à la baguette de boule de feu</t>
  </si>
  <si>
    <t xml:space="preserve">Retour </t>
  </si>
  <si>
    <t>max 12 800</t>
  </si>
  <si>
    <t>Bouclier antiprojectile</t>
  </si>
  <si>
    <t xml:space="preserve">cape de l'assassin  </t>
  </si>
  <si>
    <t>Anneau de stockage de sort</t>
  </si>
  <si>
    <t>oui?</t>
  </si>
  <si>
    <t>Milo : 4012</t>
  </si>
  <si>
    <t>gant de cambrioleur</t>
  </si>
  <si>
    <t>non</t>
  </si>
  <si>
    <t>cape d'elfe</t>
  </si>
  <si>
    <t>aidedd</t>
  </si>
  <si>
    <t>clef squelette</t>
  </si>
  <si>
    <t>nope</t>
  </si>
  <si>
    <t>gant de dextérité</t>
  </si>
  <si>
    <t>botte d'elfe</t>
  </si>
  <si>
    <t>armure de cuir cloutée +1 d'esquive</t>
  </si>
  <si>
    <t>Amulette Antidote</t>
  </si>
  <si>
    <t xml:space="preserve">Bâton de guérison </t>
  </si>
  <si>
    <t>bracelet du meurtrier</t>
  </si>
  <si>
    <t>Non</t>
  </si>
  <si>
    <t>Arc sournois frugal +2</t>
  </si>
  <si>
    <t>- très rare (bonus +3)</t>
  </si>
  <si>
    <t>BUILD NOW</t>
  </si>
  <si>
    <t>BUILD robe archmagi+amulette sphère</t>
  </si>
  <si>
    <t>10 flèches d'argent +1 incassable</t>
  </si>
  <si>
    <t>BUILD robe archmagi+amulette sphère+staff of power</t>
  </si>
  <si>
    <t>Gants antiprojectile</t>
  </si>
  <si>
    <t>custom</t>
  </si>
  <si>
    <t>Peu commun</t>
  </si>
  <si>
    <t>BUILD robe archmagi+amulette sphère+rod pact keeper</t>
  </si>
  <si>
    <t>Carquois d'Elhonna</t>
  </si>
  <si>
    <t>- permet de récupérer arcanum mystique ?</t>
  </si>
  <si>
    <t>+2 CA (17)</t>
  </si>
  <si>
    <t>Colle universelle</t>
  </si>
  <si>
    <t>16 CA, no armor</t>
  </si>
  <si>
    <t>18 CA, , no armor</t>
  </si>
  <si>
    <t>Forme animale sur mon armure de cuir</t>
  </si>
  <si>
    <t>menottes dimensionneles</t>
  </si>
  <si>
    <t>Bonus +3</t>
  </si>
  <si>
    <t xml:space="preserve"> Armure de cuir clouté + 2 7600</t>
  </si>
  <si>
    <t>FA 21250</t>
  </si>
  <si>
    <t xml:space="preserve">breast plate +2 de souffle glamour </t>
  </si>
  <si>
    <t>+2 jets d'attaques</t>
  </si>
  <si>
    <t>+ 4 jets d'attaque</t>
  </si>
  <si>
    <t>+ 4 jets d'attaque sorcier (2 sinon)</t>
  </si>
  <si>
    <t>anneau +1</t>
  </si>
  <si>
    <t>Forme animale sur mon bouclier</t>
  </si>
  <si>
    <t>Sphère d'annihilation: Milo propose de pouvoir la rentrer dans le talisman, mais distance max talisman et sphere</t>
  </si>
  <si>
    <t>poudre de disparition *5</t>
  </si>
  <si>
    <t>+2 DD sauvegarde</t>
  </si>
  <si>
    <t>+ 2 DD de sauvegarde</t>
  </si>
  <si>
    <t>+ 4 DD de sauvegarde sorcier (2 sinon)</t>
  </si>
  <si>
    <t>amulette antidote</t>
  </si>
  <si>
    <t>cube de force</t>
  </si>
  <si>
    <t>1 repos court warlock</t>
  </si>
  <si>
    <t xml:space="preserve"> bottes elfiques</t>
  </si>
  <si>
    <t>sous Total</t>
  </si>
  <si>
    <t>armure de cuir clouté +2 ( si le prix est raisonnable)</t>
  </si>
  <si>
    <t>Vendre anneau de stockage de sort, peut-être en mettant des sorts dedans ? (personnel, pas pot commun)</t>
  </si>
  <si>
    <t>avantage jds sorts et effets magiques</t>
  </si>
  <si>
    <t>puis-je changer un sort pour immobilisation de monstre si je ne garde pas le staff of power ?</t>
  </si>
  <si>
    <t>+ 2 jds</t>
  </si>
  <si>
    <t>bouteille fumigene</t>
  </si>
  <si>
    <t>sorts du bâton de puissance</t>
  </si>
  <si>
    <t>Ventes</t>
  </si>
  <si>
    <t>A chercher possiblement</t>
  </si>
  <si>
    <t>Sac sans fond</t>
  </si>
  <si>
    <t>flèche incassable x20</t>
  </si>
  <si>
    <t>Exemples</t>
  </si>
  <si>
    <t>flèche percutantes x10</t>
  </si>
  <si>
    <t>sorts stockés dans anneau</t>
  </si>
  <si>
    <t>Attention, les prix à payer pourront être différents : application de pourcentage plus ou moins random</t>
  </si>
  <si>
    <t>Passer d'une arme à une arme +1</t>
  </si>
  <si>
    <t>Amulette de santé (const 19), lien</t>
  </si>
  <si>
    <t>Explication du côté "aléatoire" des prix : cela provient des ingrédients utilisés, du nombre d'essai afin de trouver la bonne recette,</t>
  </si>
  <si>
    <t>Ajouter un effet à une arme +1</t>
  </si>
  <si>
    <t>controle sphere</t>
  </si>
  <si>
    <t>kit herboriste</t>
  </si>
  <si>
    <t>Corde d'escalade ( peu commun) pour me débrouiller quand je suis seule sans utiliser mes transformations</t>
  </si>
  <si>
    <t>bracelets de défense + 2 CA si pas armure ni bouclier (lien)</t>
  </si>
  <si>
    <t>1 repos court de warlock = ghostly gaze, protection entropique + 3 slots lvl 5</t>
  </si>
  <si>
    <t>Explication : 4000 - 1000</t>
  </si>
  <si>
    <t>Periapt of proof against poison</t>
  </si>
  <si>
    <t>Passer de +1 à +2</t>
  </si>
  <si>
    <t>https://www.dndbeyond.com/magic-items/periapt-of-proof-against-poison</t>
  </si>
  <si>
    <t>Pierre de communication ( peu commun) pour permettre au groupe de communiquer si on split ou pour communiquer avec les autres si pb quand je pars seule ( portée illimitée)</t>
  </si>
  <si>
    <t>Potion de soin</t>
  </si>
  <si>
    <t>Commun</t>
  </si>
  <si>
    <t>2d4+2</t>
  </si>
  <si>
    <t>Passer de +1 de feu à +2 de feu</t>
  </si>
  <si>
    <t>total</t>
  </si>
  <si>
    <t>Potion de soin supérieur</t>
  </si>
  <si>
    <t>peu commun</t>
  </si>
  <si>
    <t>4d4+4</t>
  </si>
  <si>
    <t>Potion de soin majeur</t>
  </si>
  <si>
    <t>rare</t>
  </si>
  <si>
    <t>8d4+8</t>
  </si>
  <si>
    <t>reste</t>
  </si>
  <si>
    <t>Potion supreme</t>
  </si>
  <si>
    <t>tres rare</t>
  </si>
  <si>
    <t>10d4+20</t>
  </si>
  <si>
    <t>Créer une arme +2 sournois frugale</t>
  </si>
  <si>
    <t>A vendre</t>
  </si>
  <si>
    <t>anneau de stockage de sorts</t>
  </si>
  <si>
    <t>po</t>
  </si>
  <si>
    <t>quelques paquets de poussière de disparition ( peu commun)</t>
  </si>
  <si>
    <t>Baguette de détection de la magie ( peu commun) , je ne compte pas préparer le sort et au final personne ne va le préparer donc ça peut servir et je n'ai pas besoin d'avoir la baguette en main sauf quand besoin.</t>
  </si>
  <si>
    <t>Des contenants pour les décoction et macération</t>
  </si>
  <si>
    <t>sorts baton = mur de force, hold monster</t>
  </si>
  <si>
    <t>Poudre de disparition x3</t>
  </si>
  <si>
    <t>ou potion d'invisibilité ? (non, très rare)</t>
  </si>
  <si>
    <t>sceptre du warlock +2 +repos court</t>
  </si>
  <si>
    <t>ring of regeneration, very rare, lien</t>
  </si>
  <si>
    <t>armure de cuir clouté +2, changepeau, glamour</t>
  </si>
  <si>
    <t>si les effets ne stackent pas: je garde le bâton de puissance</t>
  </si>
  <si>
    <t>https://www.dndbeyond.com/magic-items/potion-of-resistance</t>
  </si>
  <si>
    <t>Uncommon, potion of resistance</t>
  </si>
  <si>
    <t>Acheter</t>
  </si>
  <si>
    <t>Robe de l'archimage</t>
  </si>
  <si>
    <t>https://www.dndbeyond.com/magic-items/eyes-of-minute-seeing</t>
  </si>
  <si>
    <t>adv investigation</t>
  </si>
  <si>
    <t>Weapon of warning (uncommon) on staff of power</t>
  </si>
  <si>
    <t>Poudre de disparition</t>
  </si>
  <si>
    <r>
      <rPr>
        <color rgb="FF000000"/>
      </rPr>
      <t>C</t>
    </r>
    <r>
      <rPr/>
      <t>lockwork Amulet, Common, 1/day take 10 on an attack roll</t>
    </r>
  </si>
  <si>
    <t>sinon, amulette de santé (et je garde les 2 bâtons ?)</t>
  </si>
  <si>
    <t>Eversmoking bottle</t>
  </si>
  <si>
    <r>
      <rPr>
        <color rgb="FF000000"/>
      </rPr>
      <t>Resto</t>
    </r>
    <r>
      <rPr/>
      <t>rative Ointment, Uncommon, soigne + poisons+ maladies</t>
    </r>
  </si>
  <si>
    <t>LISTE ACTIONS + QUESTIONS POUR BAZIRE</t>
  </si>
  <si>
    <t>Recopie Illusory script (niv 1)</t>
  </si>
  <si>
    <t>2h et 50po (a déjà encres précieuses)</t>
  </si>
  <si>
    <t>+ voir questions</t>
  </si>
  <si>
    <t>https://docs.google.com/document/d/1g8_dbI_z99DVU6aOHzjbSmF3xgrv4I_WhgNYpPEIsRE/edit#</t>
  </si>
  <si>
    <t>DERNIERE PAUSE - IGNORER</t>
  </si>
  <si>
    <t>Quel prix pour upgrader le sceptre de garant du pacte :</t>
  </si>
  <si>
    <t xml:space="preserve">À rare ? </t>
  </si>
  <si>
    <t xml:space="preserve">À très rare ? </t>
  </si>
  <si>
    <t xml:space="preserve">Anneau de stockage de sorts : possible de choisir avec quel lvl je lance des sorts dans l'anneau ? </t>
  </si>
  <si>
    <t>Priorité pour les chercher</t>
  </si>
  <si>
    <t xml:space="preserve">Retenu ? </t>
  </si>
  <si>
    <t xml:space="preserve">Lien ? </t>
  </si>
  <si>
    <t>Valeur (à remplir par Bazire)</t>
  </si>
  <si>
    <t>Prix Gemmaline</t>
  </si>
  <si>
    <t>Oui</t>
  </si>
  <si>
    <t>Illusionist's bracers</t>
  </si>
  <si>
    <t>X</t>
  </si>
  <si>
    <t>Guildmasters' Guide to Ravnica</t>
  </si>
  <si>
    <t>Cloak of displacement</t>
  </si>
  <si>
    <t>Anneau de stockage de sorts</t>
  </si>
  <si>
    <t>Oui, si pas trouvé bracers</t>
  </si>
  <si>
    <t>dnd beyond</t>
  </si>
  <si>
    <t>Upgrade rod of the pact keeper</t>
  </si>
  <si>
    <t>Peu commun-&gt;très rare</t>
  </si>
  <si>
    <t>25-30K (19 000)</t>
  </si>
  <si>
    <t>Enchanter armure de cuir cloutee +1 -&gt; +2, changepeau</t>
  </si>
  <si>
    <t>15K (+1 chagepeau 5 fois par jour =&gt; 2180 ), 14790 =&gt; passage de +1 a +2 et effet permanent</t>
  </si>
  <si>
    <t xml:space="preserve">Bottes de gravité </t>
  </si>
  <si>
    <t xml:space="preserve">? </t>
  </si>
  <si>
    <t>Anneau du mage de combat</t>
  </si>
  <si>
    <t xml:space="preserve">Prix final </t>
  </si>
  <si>
    <t>Commentaire</t>
  </si>
  <si>
    <t>Bouclier +2</t>
  </si>
  <si>
    <t>Cloak of arachnida</t>
  </si>
  <si>
    <t>Oui, si lien possible</t>
  </si>
  <si>
    <t>Aidedd</t>
  </si>
  <si>
    <t>Cloak of Many Fashions</t>
  </si>
  <si>
    <t xml:space="preserve">Cape de déplacement </t>
  </si>
  <si>
    <t>Oui, si pas autre cape</t>
  </si>
  <si>
    <t>jaune et vert à carreaux</t>
  </si>
  <si>
    <t>Xanathar</t>
  </si>
  <si>
    <t>2ifier l'armure (5950)</t>
  </si>
  <si>
    <t>Tankard of sobriety</t>
  </si>
  <si>
    <t xml:space="preserve">Très rare </t>
  </si>
  <si>
    <t>-&gt; baton de foudre voirs avec Bazire</t>
  </si>
  <si>
    <t xml:space="preserve">Xanathar </t>
  </si>
  <si>
    <t>outils de bricoleur</t>
  </si>
  <si>
    <t>50po (outils) + 250PO (1Po/jour pendant 250j pr maîtrise d'outils)</t>
  </si>
  <si>
    <t>AideDD</t>
  </si>
  <si>
    <t>Cleansing stone</t>
  </si>
  <si>
    <t>poura permetre de proposer des petits trics sympa RP dans certaines situations</t>
  </si>
  <si>
    <t>https://www.aidedd.org/en/intro/unearthed-arcana/magic-items-of-eberron/</t>
  </si>
  <si>
    <t>anneau stockage sort</t>
  </si>
  <si>
    <t>OUi</t>
  </si>
  <si>
    <t>bateau pliable</t>
  </si>
  <si>
    <t>MARIN !!!! à customiser à volonté</t>
  </si>
  <si>
    <t>BOL DE CONTRÔLE DES ÉLÉMENTAIRES DE L'EAU</t>
  </si>
  <si>
    <t>copain !!! catalyseur de sorts de vision</t>
  </si>
  <si>
    <t>Cor du valhala</t>
  </si>
  <si>
    <t>Feather token</t>
  </si>
  <si>
    <t>Trident des tempêtes</t>
  </si>
  <si>
    <t>2 attaque, dégat attaquesorts
sorts : 
eclair de sorcière  1
création destruction eau 1
ecriture aerienne 2
controle de l'eau
controle des vents
sacre du vent 6
appel à la foudre
à volonté : 
vent violent 2
envoie des petites décharges régulière
forme tourbillon quand dans eau</t>
  </si>
  <si>
    <t>Spellshard</t>
  </si>
  <si>
    <t>Tome of Leadership and Influence</t>
  </si>
  <si>
    <t>PAS POUR LE MOMENT</t>
  </si>
  <si>
    <t>Enchanter armure -&gt; clignotement</t>
  </si>
  <si>
    <t>plus 15 000</t>
  </si>
  <si>
    <t>Cape of the Mountebank</t>
  </si>
  <si>
    <t>anciens achats (démasquer)</t>
  </si>
  <si>
    <t>5K max</t>
  </si>
  <si>
    <t>Livre dm</t>
  </si>
  <si>
    <t>Objets à chercher</t>
  </si>
  <si>
    <t>Manual of bodily health</t>
  </si>
  <si>
    <t>amulette de dévotion (+2 ou +3)</t>
  </si>
  <si>
    <t>+2 rare / +3 très rare</t>
  </si>
  <si>
    <t xml:space="preserve">Chaussons de l'araignée </t>
  </si>
  <si>
    <t xml:space="preserve">Peu commun </t>
  </si>
  <si>
    <t>http://dnd5e.wikidot.com/wondrous-items:amulet-of-the-devout</t>
  </si>
  <si>
    <t xml:space="preserve">Bottes de pas latéral </t>
  </si>
  <si>
    <t>?</t>
  </si>
  <si>
    <t>Gants d'incantation mortelle</t>
  </si>
  <si>
    <t>NON</t>
  </si>
  <si>
    <t>Enchanter armure -&gt; changepeau</t>
  </si>
  <si>
    <t>A priori, oui</t>
  </si>
  <si>
    <t>13 160 pour +1</t>
  </si>
  <si>
    <t>Robe de couleurs étincelantes</t>
  </si>
  <si>
    <t>Anneaux de transport</t>
  </si>
  <si>
    <t>Cape de l'assassin</t>
  </si>
  <si>
    <t>WHY NOT, FAUT VOIR</t>
  </si>
  <si>
    <t>attention non cumulable avec effet trident</t>
  </si>
  <si>
    <t>Armure +2 changepeau</t>
  </si>
  <si>
    <t>ceinturon tempete</t>
  </si>
  <si>
    <t>legendaire</t>
  </si>
  <si>
    <t>http://dnd5e.wikidot.com/wondrous-items:stormgirdle</t>
  </si>
  <si>
    <t>MIN</t>
  </si>
  <si>
    <t>MAX</t>
  </si>
  <si>
    <t>Valeur exacte</t>
  </si>
  <si>
    <t>Recopier rituel Contact autre plan</t>
  </si>
  <si>
    <t>Anneau de contrôle de l'Air Élémentaire</t>
  </si>
  <si>
    <t>https://www.aidedd.org/dnd/om.php?vf=anneau-de-controle-des-elementaires</t>
  </si>
  <si>
    <t>Cape Mountebank</t>
  </si>
  <si>
    <t>upgrade en +2 dernier tiers</t>
  </si>
  <si>
    <t>Une fois par jour, effet repos court sur effets warlock</t>
  </si>
  <si>
    <t>Enchanter armure de cuir cloutee +1 -&gt; changepeau chgt apparence 5 fois/jour</t>
  </si>
  <si>
    <t xml:space="preserve">Armure +2, changepeau permanent </t>
  </si>
  <si>
    <t>Vague</t>
  </si>
  <si>
    <t>https://www.aidedd.org/dnd/om.php?vf=vague</t>
  </si>
  <si>
    <t>2 potions de soin</t>
  </si>
  <si>
    <t>TOTAL</t>
  </si>
  <si>
    <t>Amélioration équipement existant</t>
  </si>
  <si>
    <t>+3ifier l'armure</t>
  </si>
  <si>
    <t>base</t>
  </si>
  <si>
    <t>+3ifier le bouclier</t>
  </si>
  <si>
    <t>Améliorations :</t>
  </si>
  <si>
    <t xml:space="preserve">Enchantement équipement existant </t>
  </si>
  <si>
    <t>bouclier gardesort +3 (2 slots pris)</t>
  </si>
  <si>
    <t>très rare</t>
  </si>
  <si>
    <t>https://www.aidedd.org/dnd/om.php?vf=bouclier-gardesort</t>
  </si>
  <si>
    <t>Objet :</t>
  </si>
  <si>
    <t>Amélioration souhaité:</t>
  </si>
  <si>
    <t xml:space="preserve">sceptre de défense </t>
  </si>
  <si>
    <t>Contre sort</t>
  </si>
  <si>
    <t>globle d'invulnérabilité</t>
  </si>
  <si>
    <t>Armure de plates en adamantium</t>
  </si>
  <si>
    <t>"+1"</t>
  </si>
  <si>
    <t xml:space="preserve">protection contre les armes </t>
  </si>
  <si>
    <t>spell gem - comprehension des langues</t>
  </si>
  <si>
    <t>Absorption des éléments</t>
  </si>
  <si>
    <t>(le cas échéant un enchantement "cape de déplacement" sans lien)</t>
  </si>
  <si>
    <t>Armure lourde discrete ?</t>
  </si>
  <si>
    <t>argent actuel</t>
  </si>
  <si>
    <t>Donne des PV supplementaires temporaire ou max tant que je porte l'armure et se regen une fois par jour au lever du soleil ?</t>
  </si>
  <si>
    <t>spell gem - silence</t>
  </si>
  <si>
    <t>total achats</t>
  </si>
  <si>
    <t xml:space="preserve">Questions : </t>
  </si>
  <si>
    <t>Protection contre les armes (niveau 0) et Absorption des éléments (Niveau 1) sont des sort actif et ne peuvent pas être lancer en réaction initialement, Si j'ajoute ces sorts sur l'armure, fonctionnera-t-elel comme mon sceptre avec des charges ou en passif ?</t>
  </si>
  <si>
    <t>Est-il possible de faire d'un sort actif un enchantement passif ?</t>
  </si>
  <si>
    <t>upgrade rod of the pact keeper +3</t>
  </si>
  <si>
    <t>upgrade armure +3</t>
  </si>
  <si>
    <t>Si on enchante un objet avec un sort provenant d'un objet nécessitant un lien, l'enchantemant aussi doit être lié?</t>
  </si>
  <si>
    <t>amelioration weapon of warning</t>
  </si>
  <si>
    <t>avec l'upgrade du rod pact keeper</t>
  </si>
  <si>
    <t>En cours de recherche :</t>
  </si>
  <si>
    <t>argent restant</t>
  </si>
  <si>
    <t>Arme "vampirique" qui vole les points de vie lorsqu'il fait des dégats pour le combiner à mon amulette de cicatrisation qui double ma régène de point de vie à chaque fois que je me soigne</t>
  </si>
  <si>
    <t>vend amulette de bonne sante</t>
  </si>
  <si>
    <t>periapt of proof against poison</t>
  </si>
  <si>
    <t>Type</t>
  </si>
  <si>
    <t>Lien</t>
  </si>
  <si>
    <t>Prix?</t>
  </si>
  <si>
    <t>chercher comment monter en grade chez les menestrels pour passer archimage</t>
  </si>
  <si>
    <t>gemme sort topaz 6</t>
  </si>
  <si>
    <t>Cape de déplacement</t>
  </si>
  <si>
    <t>Merveilleux</t>
  </si>
  <si>
    <t>item pour shadow of moil</t>
  </si>
  <si>
    <t>Sac à malice (rouille ou ocre)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</si>
</sst>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Po]"/>
  </numFmts>
  <fonts count="18">
    <font>
      <sz val="10.0"/>
      <color rgb="FF000000"/>
      <name val="Arial"/>
    </font>
    <font/>
    <font>
      <b/>
    </font>
    <font>
      <b/>
      <sz val="14.0"/>
    </font>
    <font>
      <b/>
      <sz val="12.0"/>
    </font>
    <font>
      <u/>
      <color rgb="FF1155CC"/>
    </font>
    <font>
      <color rgb="FFFFFFFF"/>
    </font>
    <font>
      <color rgb="FF222222"/>
      <name val="Arial"/>
    </font>
    <font>
      <strike/>
      <color rgb="FF1155CC"/>
    </font>
    <font>
      <strike/>
    </font>
    <font>
      <b/>
      <color rgb="FFFFFFFF"/>
    </font>
    <font>
      <u/>
      <color rgb="FF0000FF"/>
    </font>
    <font>
      <u/>
      <color rgb="FF0000FF"/>
    </font>
    <font>
      <b/>
      <sz val="12.0"/>
      <color rgb="FF980000"/>
    </font>
    <font>
      <color rgb="FF333333"/>
      <name val="TiamatRegular"/>
    </font>
    <font>
      <i/>
    </font>
    <font>
      <u/>
      <color rgb="FF0000FF"/>
    </font>
    <font>
      <u/>
      <color rgb="FF1155CC"/>
    </font>
  </fonts>
  <fills count="24">
    <fill>
      <patternFill patternType="none"/>
    </fill>
    <fill>
      <patternFill patternType="lightGray"/>
    </fill>
    <fill>
      <patternFill patternType="solid">
        <fgColor rgb="FFB7B7B7"/>
        <bgColor rgb="FFB7B7B7"/>
      </patternFill>
    </fill>
    <fill>
      <patternFill patternType="solid">
        <fgColor rgb="FFFFFF00"/>
        <bgColor rgb="FFFFFF00"/>
      </patternFill>
    </fill>
    <fill>
      <patternFill patternType="solid">
        <fgColor rgb="FFD0E0E3"/>
        <bgColor rgb="FFD0E0E3"/>
      </patternFill>
    </fill>
    <fill>
      <patternFill patternType="solid">
        <fgColor rgb="FFCFE2F3"/>
        <bgColor rgb="FFCFE2F3"/>
      </patternFill>
    </fill>
    <fill>
      <patternFill patternType="solid">
        <fgColor rgb="FF00FF00"/>
        <bgColor rgb="FF00FF00"/>
      </patternFill>
    </fill>
    <fill>
      <patternFill patternType="solid">
        <fgColor rgb="FF0000FF"/>
        <bgColor rgb="FF0000FF"/>
      </patternFill>
    </fill>
    <fill>
      <patternFill patternType="solid">
        <fgColor rgb="FFFFFFFF"/>
        <bgColor rgb="FFFFFFFF"/>
      </patternFill>
    </fill>
    <fill>
      <patternFill patternType="solid">
        <fgColor rgb="FFD9EAD3"/>
        <bgColor rgb="FFD9EAD3"/>
      </patternFill>
    </fill>
    <fill>
      <patternFill patternType="solid">
        <fgColor rgb="FFF4CCCC"/>
        <bgColor rgb="FFF4CCCC"/>
      </patternFill>
    </fill>
    <fill>
      <patternFill patternType="solid">
        <fgColor rgb="FF00FFFF"/>
        <bgColor rgb="FF00FFFF"/>
      </patternFill>
    </fill>
    <fill>
      <patternFill patternType="solid">
        <fgColor rgb="FF38761D"/>
        <bgColor rgb="FF38761D"/>
      </patternFill>
    </fill>
    <fill>
      <patternFill patternType="solid">
        <fgColor rgb="FFFFF2CC"/>
        <bgColor rgb="FFFFF2CC"/>
      </patternFill>
    </fill>
    <fill>
      <patternFill patternType="solid">
        <fgColor rgb="FFD9D9D9"/>
        <bgColor rgb="FFD9D9D9"/>
      </patternFill>
    </fill>
    <fill>
      <patternFill patternType="solid">
        <fgColor rgb="FFB7E1CD"/>
        <bgColor rgb="FFB7E1CD"/>
      </patternFill>
    </fill>
    <fill>
      <patternFill patternType="solid">
        <fgColor rgb="FFF4C7C3"/>
        <bgColor rgb="FFF4C7C3"/>
      </patternFill>
    </fill>
    <fill>
      <patternFill patternType="solid">
        <fgColor rgb="FFFF0000"/>
        <bgColor rgb="FFFF0000"/>
      </patternFill>
    </fill>
    <fill>
      <patternFill patternType="solid">
        <fgColor rgb="FF4A86E8"/>
        <bgColor rgb="FF4A86E8"/>
      </patternFill>
    </fill>
    <fill>
      <patternFill patternType="solid">
        <fgColor rgb="FFB6D7A8"/>
        <bgColor rgb="FFB6D7A8"/>
      </patternFill>
    </fill>
    <fill>
      <patternFill patternType="solid">
        <fgColor rgb="FF000000"/>
        <bgColor rgb="FF000000"/>
      </patternFill>
    </fill>
    <fill>
      <patternFill patternType="solid">
        <fgColor rgb="FFEA9999"/>
        <bgColor rgb="FFEA9999"/>
      </patternFill>
    </fill>
    <fill>
      <patternFill patternType="solid">
        <fgColor rgb="FFF9CB9C"/>
        <bgColor rgb="FFF9CB9C"/>
      </patternFill>
    </fill>
    <fill>
      <patternFill patternType="solid">
        <fgColor rgb="FFFCE5CD"/>
        <bgColor rgb="FFFCE5CD"/>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3" fontId="2" numFmtId="0" xfId="0" applyAlignment="1" applyFill="1" applyFont="1">
      <alignment readingOrder="0"/>
    </xf>
    <xf borderId="1" fillId="0" fontId="3" numFmtId="0" xfId="0" applyAlignment="1" applyBorder="1" applyFont="1">
      <alignment readingOrder="0"/>
    </xf>
    <xf borderId="0" fillId="3" fontId="2" numFmtId="0" xfId="0" applyFill="1" applyFont="1"/>
    <xf borderId="0" fillId="2" fontId="1" numFmtId="0" xfId="0" applyFill="1" applyFont="1"/>
    <xf borderId="0" fillId="3" fontId="2" numFmtId="0" xfId="0" applyAlignment="1" applyFill="1" applyFont="1">
      <alignment horizontal="center" readingOrder="0"/>
    </xf>
    <xf borderId="1" fillId="0" fontId="2" numFmtId="0" xfId="0" applyAlignment="1" applyBorder="1" applyFont="1">
      <alignment readingOrder="0"/>
    </xf>
    <xf borderId="0" fillId="0" fontId="1" numFmtId="0" xfId="0" applyAlignment="1" applyFont="1">
      <alignment readingOrder="0"/>
    </xf>
    <xf borderId="1" fillId="0" fontId="1" numFmtId="0" xfId="0" applyAlignment="1" applyBorder="1" applyFont="1">
      <alignment readingOrder="0"/>
    </xf>
    <xf borderId="1" fillId="0" fontId="4" numFmtId="0" xfId="0" applyAlignment="1" applyBorder="1" applyFont="1">
      <alignment readingOrder="0"/>
    </xf>
    <xf borderId="1" fillId="0" fontId="1" numFmtId="0" xfId="0" applyBorder="1" applyFont="1"/>
    <xf borderId="0" fillId="0" fontId="5" numFmtId="0" xfId="0" applyAlignment="1" applyFont="1">
      <alignment readingOrder="0"/>
    </xf>
    <xf borderId="0" fillId="4" fontId="2" numFmtId="0" xfId="0" applyAlignment="1" applyFill="1" applyFont="1">
      <alignment readingOrder="0"/>
    </xf>
    <xf borderId="0" fillId="5" fontId="2" numFmtId="0" xfId="0" applyAlignment="1" applyFill="1" applyFont="1">
      <alignment readingOrder="0"/>
    </xf>
    <xf quotePrefix="1" borderId="0" fillId="0" fontId="1" numFmtId="0" xfId="0" applyAlignment="1" applyFont="1">
      <alignment readingOrder="0"/>
    </xf>
    <xf borderId="0" fillId="6" fontId="1" numFmtId="0" xfId="0" applyAlignment="1" applyFill="1" applyFont="1">
      <alignment readingOrder="0"/>
    </xf>
    <xf borderId="0" fillId="5" fontId="1" numFmtId="0" xfId="0" applyAlignment="1" applyFill="1" applyFont="1">
      <alignment readingOrder="0"/>
    </xf>
    <xf quotePrefix="1" borderId="0" fillId="4" fontId="1" numFmtId="0" xfId="0" applyAlignment="1" applyFill="1" applyFont="1">
      <alignment readingOrder="0"/>
    </xf>
    <xf quotePrefix="1" borderId="0" fillId="5" fontId="1" numFmtId="0" xfId="0" applyAlignment="1" applyFill="1" applyFont="1">
      <alignment readingOrder="0"/>
    </xf>
    <xf quotePrefix="1" borderId="0" fillId="7" fontId="6" numFmtId="0" xfId="0" applyAlignment="1" applyFill="1" applyFont="1">
      <alignment readingOrder="0"/>
    </xf>
    <xf borderId="0" fillId="4" fontId="1" numFmtId="0" xfId="0" applyFill="1" applyFont="1"/>
    <xf borderId="0" fillId="7" fontId="6" numFmtId="0" xfId="0" applyAlignment="1" applyFill="1" applyFont="1">
      <alignment readingOrder="0"/>
    </xf>
    <xf borderId="0" fillId="8" fontId="7" numFmtId="0" xfId="0" applyAlignment="1" applyFill="1" applyFont="1">
      <alignment readingOrder="0"/>
    </xf>
    <xf borderId="2" fillId="9" fontId="2" numFmtId="0" xfId="0" applyAlignment="1" applyBorder="1" applyFill="1" applyFont="1">
      <alignment readingOrder="0"/>
    </xf>
    <xf borderId="0" fillId="4" fontId="1" numFmtId="0" xfId="0" applyAlignment="1" applyFill="1" applyFont="1">
      <alignment readingOrder="0"/>
    </xf>
    <xf quotePrefix="1" borderId="0" fillId="6" fontId="1" numFmtId="0" xfId="0" applyAlignment="1" applyFill="1" applyFont="1">
      <alignment readingOrder="0"/>
    </xf>
    <xf borderId="0" fillId="5" fontId="1" numFmtId="0" xfId="0" applyFill="1" applyFont="1"/>
    <xf borderId="3" fillId="9" fontId="2" numFmtId="0" xfId="0" applyBorder="1" applyFill="1" applyFont="1"/>
    <xf borderId="4" fillId="10" fontId="1" numFmtId="0" xfId="0" applyAlignment="1" applyBorder="1" applyFill="1" applyFont="1">
      <alignment readingOrder="0"/>
    </xf>
    <xf borderId="5" fillId="10" fontId="1" numFmtId="0" xfId="0" applyAlignment="1" applyBorder="1" applyFill="1" applyFont="1">
      <alignment readingOrder="0"/>
    </xf>
    <xf borderId="0" fillId="11" fontId="2" numFmtId="0" xfId="0" applyAlignment="1" applyFill="1" applyFont="1">
      <alignment readingOrder="0"/>
    </xf>
    <xf borderId="0" fillId="11" fontId="8" numFmtId="0" xfId="0" applyAlignment="1" applyFill="1" applyFont="1">
      <alignment readingOrder="0"/>
    </xf>
    <xf borderId="0" fillId="11" fontId="9" numFmtId="0" xfId="0" applyFill="1" applyFont="1"/>
    <xf borderId="0" fillId="0" fontId="3" numFmtId="0" xfId="0" applyAlignment="1" applyFont="1">
      <alignment readingOrder="0"/>
    </xf>
    <xf borderId="0" fillId="0" fontId="9" numFmtId="0" xfId="0" applyFont="1"/>
    <xf borderId="0" fillId="0" fontId="9" numFmtId="0" xfId="0" applyAlignment="1" applyFont="1">
      <alignment readingOrder="0"/>
    </xf>
    <xf borderId="4" fillId="10" fontId="1" numFmtId="0" xfId="0" applyBorder="1" applyFill="1" applyFont="1"/>
    <xf borderId="5" fillId="10" fontId="1" numFmtId="0" xfId="0" applyBorder="1" applyFill="1" applyFont="1"/>
    <xf borderId="2" fillId="12" fontId="10" numFmtId="0" xfId="0" applyAlignment="1" applyBorder="1" applyFill="1" applyFont="1">
      <alignment readingOrder="0"/>
    </xf>
    <xf borderId="3" fillId="12" fontId="10" numFmtId="0" xfId="0" applyBorder="1" applyFill="1" applyFont="1"/>
    <xf borderId="0" fillId="0" fontId="11" numFmtId="0" xfId="0" applyAlignment="1" applyFont="1">
      <alignment readingOrder="0"/>
    </xf>
    <xf borderId="0" fillId="9" fontId="1" numFmtId="0" xfId="0" applyAlignment="1" applyFill="1" applyFont="1">
      <alignment readingOrder="0"/>
    </xf>
    <xf borderId="0" fillId="9" fontId="1" numFmtId="0" xfId="0" applyFill="1" applyFont="1"/>
    <xf borderId="0" fillId="13" fontId="1" numFmtId="0" xfId="0" applyAlignment="1" applyFill="1" applyFont="1">
      <alignment readingOrder="0"/>
    </xf>
    <xf borderId="0" fillId="13" fontId="2" numFmtId="0" xfId="0" applyAlignment="1" applyFill="1" applyFont="1">
      <alignment readingOrder="0"/>
    </xf>
    <xf borderId="0" fillId="13" fontId="1" numFmtId="0" xfId="0" applyFill="1" applyFont="1"/>
    <xf borderId="0" fillId="0" fontId="12" numFmtId="0" xfId="0" applyAlignment="1" applyFont="1">
      <alignment readingOrder="0"/>
    </xf>
    <xf borderId="0" fillId="3" fontId="13" numFmtId="0" xfId="0" applyAlignment="1" applyFill="1" applyFont="1">
      <alignment readingOrder="0"/>
    </xf>
    <xf borderId="0" fillId="0" fontId="1" numFmtId="0" xfId="0" applyAlignment="1" applyFont="1">
      <alignment readingOrder="0"/>
    </xf>
    <xf borderId="0" fillId="3" fontId="1" numFmtId="0" xfId="0" applyFill="1" applyFont="1"/>
    <xf borderId="0" fillId="8" fontId="1" numFmtId="0" xfId="0" applyFill="1" applyFont="1"/>
    <xf borderId="0" fillId="14" fontId="2" numFmtId="0" xfId="0" applyAlignment="1" applyFill="1" applyFont="1">
      <alignment readingOrder="0"/>
    </xf>
    <xf borderId="0" fillId="10" fontId="2" numFmtId="0" xfId="0" applyAlignment="1" applyFill="1" applyFont="1">
      <alignment readingOrder="0"/>
    </xf>
    <xf borderId="0" fillId="15" fontId="2" numFmtId="0" xfId="0" applyAlignment="1" applyFill="1" applyFont="1">
      <alignment readingOrder="0"/>
    </xf>
    <xf borderId="0" fillId="15" fontId="1" numFmtId="0" xfId="0" applyAlignment="1" applyFill="1" applyFont="1">
      <alignment readingOrder="0"/>
    </xf>
    <xf borderId="0" fillId="15" fontId="2" numFmtId="0" xfId="0" applyAlignment="1" applyFill="1" applyFont="1">
      <alignment horizontal="center" readingOrder="0"/>
    </xf>
    <xf borderId="0" fillId="15" fontId="1" numFmtId="0" xfId="0" applyFill="1" applyFont="1"/>
    <xf borderId="0" fillId="16" fontId="1" numFmtId="0" xfId="0" applyAlignment="1" applyFill="1" applyFont="1">
      <alignment readingOrder="0"/>
    </xf>
    <xf borderId="0" fillId="15" fontId="1" numFmtId="4" xfId="0" applyFill="1" applyFont="1" applyNumberFormat="1"/>
    <xf borderId="0" fillId="8" fontId="2" numFmtId="0" xfId="0" applyAlignment="1" applyFill="1" applyFont="1">
      <alignment readingOrder="0"/>
    </xf>
    <xf borderId="0" fillId="8" fontId="1" numFmtId="0" xfId="0" applyAlignment="1" applyFill="1" applyFont="1">
      <alignment readingOrder="0"/>
    </xf>
    <xf borderId="0" fillId="8" fontId="2" numFmtId="0" xfId="0" applyAlignment="1" applyFill="1" applyFont="1">
      <alignment horizontal="center" readingOrder="0"/>
    </xf>
    <xf borderId="0" fillId="8" fontId="1" numFmtId="4" xfId="0" applyFill="1" applyFont="1" applyNumberFormat="1"/>
    <xf borderId="0" fillId="15" fontId="1" numFmtId="4" xfId="0" applyAlignment="1" applyFill="1" applyFont="1" applyNumberFormat="1">
      <alignment readingOrder="0"/>
    </xf>
    <xf borderId="0" fillId="9" fontId="2" numFmtId="0" xfId="0" applyAlignment="1" applyFill="1" applyFont="1">
      <alignment readingOrder="0"/>
    </xf>
    <xf borderId="0" fillId="2" fontId="1" numFmtId="0" xfId="0" applyAlignment="1" applyFill="1" applyFont="1">
      <alignment readingOrder="0"/>
    </xf>
    <xf borderId="0" fillId="9" fontId="2" numFmtId="0" xfId="0" applyAlignment="1" applyFill="1" applyFont="1">
      <alignment horizontal="center" readingOrder="0"/>
    </xf>
    <xf borderId="0" fillId="16" fontId="1" numFmtId="0" xfId="0" applyFill="1" applyFont="1"/>
    <xf borderId="0" fillId="9" fontId="1" numFmtId="4" xfId="0" applyAlignment="1" applyFill="1" applyFont="1" applyNumberFormat="1">
      <alignment readingOrder="0"/>
    </xf>
    <xf borderId="0" fillId="2" fontId="1" numFmtId="164" xfId="0" applyAlignment="1" applyFill="1" applyFont="1" applyNumberFormat="1">
      <alignment readingOrder="0"/>
    </xf>
    <xf borderId="0" fillId="2" fontId="1" numFmtId="0" xfId="0" applyAlignment="1" applyFill="1" applyFont="1">
      <alignment readingOrder="0" shrinkToFit="0" wrapText="0"/>
    </xf>
    <xf borderId="0" fillId="8" fontId="1" numFmtId="0" xfId="0" applyAlignment="1" applyFill="1" applyFont="1">
      <alignment readingOrder="0"/>
    </xf>
    <xf borderId="0" fillId="8" fontId="2" numFmtId="0" xfId="0" applyAlignment="1" applyFill="1" applyFont="1">
      <alignment horizontal="center" readingOrder="0"/>
    </xf>
    <xf borderId="0" fillId="0" fontId="1" numFmtId="164" xfId="0" applyAlignment="1" applyFont="1" applyNumberFormat="1">
      <alignment readingOrder="0"/>
    </xf>
    <xf borderId="0" fillId="8" fontId="1" numFmtId="0" xfId="0" applyFill="1" applyFont="1"/>
    <xf borderId="0" fillId="0" fontId="1" numFmtId="0" xfId="0" applyAlignment="1" applyFont="1">
      <alignment readingOrder="0" shrinkToFit="0" wrapText="0"/>
    </xf>
    <xf borderId="0" fillId="8" fontId="1" numFmtId="4" xfId="0" applyFill="1" applyFont="1" applyNumberFormat="1"/>
    <xf borderId="0" fillId="0" fontId="1" numFmtId="164" xfId="0" applyFont="1" applyNumberFormat="1"/>
    <xf borderId="0" fillId="0" fontId="1" numFmtId="0" xfId="0" applyAlignment="1" applyFont="1">
      <alignment shrinkToFit="0" wrapText="0"/>
    </xf>
    <xf borderId="0" fillId="0" fontId="1" numFmtId="0" xfId="0" applyAlignment="1" applyFont="1">
      <alignment readingOrder="0"/>
    </xf>
    <xf borderId="0" fillId="8" fontId="14" numFmtId="0" xfId="0" applyAlignment="1" applyFill="1" applyFont="1">
      <alignment readingOrder="0"/>
    </xf>
    <xf borderId="0" fillId="0" fontId="2" numFmtId="0" xfId="0" applyAlignment="1" applyFont="1">
      <alignment horizontal="center" readingOrder="0"/>
    </xf>
    <xf borderId="0" fillId="10" fontId="1" numFmtId="0" xfId="0" applyAlignment="1" applyFill="1" applyFont="1">
      <alignment readingOrder="0"/>
    </xf>
    <xf borderId="0" fillId="0" fontId="1" numFmtId="4" xfId="0" applyFont="1" applyNumberFormat="1"/>
    <xf borderId="0" fillId="0" fontId="2" numFmtId="0" xfId="0" applyAlignment="1" applyFont="1">
      <alignment horizontal="center"/>
    </xf>
    <xf borderId="0" fillId="10" fontId="1" numFmtId="0" xfId="0" applyFill="1" applyFont="1"/>
    <xf borderId="0" fillId="0" fontId="1" numFmtId="4" xfId="0" applyAlignment="1" applyFont="1" applyNumberFormat="1">
      <alignment readingOrder="0"/>
    </xf>
    <xf borderId="0" fillId="0" fontId="15" numFmtId="0" xfId="0" applyAlignment="1" applyFont="1">
      <alignment readingOrder="0"/>
    </xf>
    <xf borderId="0" fillId="15" fontId="1" numFmtId="0" xfId="0" applyAlignment="1" applyFill="1" applyFont="1">
      <alignment readingOrder="0"/>
    </xf>
    <xf borderId="0" fillId="0" fontId="16" numFmtId="0" xfId="0" applyAlignment="1" applyFont="1">
      <alignment readingOrder="0" shrinkToFit="0" wrapText="0"/>
    </xf>
    <xf borderId="0" fillId="8" fontId="2" numFmtId="0" xfId="0" applyAlignment="1" applyFill="1" applyFont="1">
      <alignment readingOrder="0"/>
    </xf>
    <xf borderId="0" fillId="17" fontId="10" numFmtId="0" xfId="0" applyAlignment="1" applyFill="1" applyFont="1">
      <alignment readingOrder="0"/>
    </xf>
    <xf borderId="0" fillId="0" fontId="17" numFmtId="0" xfId="0" applyAlignment="1" applyFont="1">
      <alignment readingOrder="0" shrinkToFit="0" wrapText="0"/>
    </xf>
    <xf borderId="0" fillId="0" fontId="2" numFmtId="4" xfId="0" applyFont="1" applyNumberFormat="1"/>
    <xf borderId="0" fillId="0" fontId="1" numFmtId="0" xfId="0" applyAlignment="1" applyFont="1">
      <alignment shrinkToFit="0" wrapText="1"/>
    </xf>
    <xf borderId="0" fillId="18" fontId="2" numFmtId="0" xfId="0" applyAlignment="1" applyFill="1" applyFont="1">
      <alignment readingOrder="0"/>
    </xf>
    <xf borderId="0" fillId="18" fontId="2" numFmtId="0" xfId="0" applyAlignment="1" applyFill="1" applyFont="1">
      <alignment readingOrder="0" shrinkToFit="0" wrapText="1"/>
    </xf>
    <xf borderId="0" fillId="18" fontId="2" numFmtId="0" xfId="0" applyFill="1" applyFont="1"/>
    <xf borderId="0" fillId="17" fontId="1" numFmtId="0" xfId="0" applyAlignment="1" applyFill="1" applyFont="1">
      <alignment readingOrder="0" shrinkToFit="0" wrapText="1"/>
    </xf>
    <xf borderId="0" fillId="6" fontId="1" numFmtId="0" xfId="0" applyAlignment="1" applyFill="1" applyFont="1">
      <alignment readingOrder="0" shrinkToFit="0" wrapText="1"/>
    </xf>
    <xf borderId="0" fillId="17" fontId="1" numFmtId="0" xfId="0" applyAlignment="1" applyFill="1" applyFont="1">
      <alignment readingOrder="0"/>
    </xf>
    <xf borderId="0" fillId="0" fontId="1" numFmtId="0" xfId="0" applyAlignment="1" applyFont="1">
      <alignment readingOrder="0" shrinkToFit="0" wrapText="1"/>
    </xf>
    <xf borderId="0" fillId="19" fontId="2" numFmtId="0" xfId="0" applyAlignment="1" applyFill="1" applyFont="1">
      <alignment horizontal="right" readingOrder="0"/>
    </xf>
    <xf borderId="0" fillId="9" fontId="1" numFmtId="164" xfId="0" applyAlignment="1" applyFill="1" applyFont="1" applyNumberFormat="1">
      <alignment readingOrder="0"/>
    </xf>
    <xf borderId="0" fillId="20" fontId="1" numFmtId="0" xfId="0" applyFill="1" applyFont="1"/>
    <xf borderId="0" fillId="21" fontId="2" numFmtId="0" xfId="0" applyAlignment="1" applyFill="1" applyFont="1">
      <alignment horizontal="right" readingOrder="0"/>
    </xf>
    <xf borderId="0" fillId="10" fontId="1" numFmtId="164" xfId="0" applyFill="1" applyFont="1" applyNumberFormat="1"/>
    <xf borderId="0" fillId="22" fontId="2" numFmtId="0" xfId="0" applyAlignment="1" applyFill="1" applyFont="1">
      <alignment horizontal="right" readingOrder="0"/>
    </xf>
    <xf borderId="0" fillId="23" fontId="1" numFmtId="164" xfId="0" applyFill="1" applyFont="1" applyNumberFormat="1"/>
    <xf borderId="0" fillId="0" fontId="2" numFmtId="0" xfId="0" applyFont="1"/>
  </cellXfs>
  <cellStyles count="1">
    <cellStyle xfId="0" name="Normal" builtinId="0"/>
  </cellStyles>
  <dxfs count="2">
    <dxf>
      <font/>
      <fill>
        <patternFill patternType="solid">
          <fgColor rgb="FFB7E1CD"/>
          <bgColor rgb="FFB7E1CD"/>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idedd.org/dnd/om.php?vf=sceptre-du-gardien-des-pactes" TargetMode="External"/><Relationship Id="rId2" Type="http://schemas.openxmlformats.org/officeDocument/2006/relationships/hyperlink" Target="https://www.dndbeyond.com/magic-items/periapt-of-proof-against-poison" TargetMode="External"/><Relationship Id="rId3" Type="http://schemas.openxmlformats.org/officeDocument/2006/relationships/hyperlink" Target="https://www.aidedd.org/dnd/om.php?vf=poussiere-de-disparition" TargetMode="External"/><Relationship Id="rId4" Type="http://schemas.openxmlformats.org/officeDocument/2006/relationships/hyperlink" Target="https://www.dndbeyond.com/magic-items/potion-of-resistance" TargetMode="External"/><Relationship Id="rId11" Type="http://schemas.openxmlformats.org/officeDocument/2006/relationships/hyperlink" Target="https://www.aidedd.org/en/intro/unearthed-arcana/magic-items-of-eberron/" TargetMode="External"/><Relationship Id="rId10" Type="http://schemas.openxmlformats.org/officeDocument/2006/relationships/hyperlink" Target="https://www.aidedd.org/en/intro/unearthed-arcana/magic-items-of-eberron/" TargetMode="External"/><Relationship Id="rId12" Type="http://schemas.openxmlformats.org/officeDocument/2006/relationships/drawing" Target="../drawings/drawing3.xml"/><Relationship Id="rId9" Type="http://schemas.openxmlformats.org/officeDocument/2006/relationships/hyperlink" Target="https://www.aidedd.org/en/intro/unearthed-arcana/magic-items-of-eberron/" TargetMode="External"/><Relationship Id="rId5" Type="http://schemas.openxmlformats.org/officeDocument/2006/relationships/hyperlink" Target="https://www.dndbeyond.com/magic-items/eyes-of-minute-seeing" TargetMode="External"/><Relationship Id="rId6" Type="http://schemas.openxmlformats.org/officeDocument/2006/relationships/hyperlink" Target="https://www.dndbeyond.com/magic-items/clockwork-amulet" TargetMode="External"/><Relationship Id="rId7" Type="http://schemas.openxmlformats.org/officeDocument/2006/relationships/hyperlink" Target="https://www.dndbeyond.com/magic-items/restorative-ointment" TargetMode="External"/><Relationship Id="rId8" Type="http://schemas.openxmlformats.org/officeDocument/2006/relationships/hyperlink" Target="https://docs.google.com/document/d/1g8_dbI_z99DVU6aOHzjbSmF3xgrv4I_WhgNYpPEIsRE/edi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dnd5e.wikidot.com/wondrous-items:amulet-of-the-devout" TargetMode="External"/><Relationship Id="rId2" Type="http://schemas.openxmlformats.org/officeDocument/2006/relationships/hyperlink" Target="http://dnd5e.wikidot.com/wondrous-items:stormgirdle" TargetMode="External"/><Relationship Id="rId3" Type="http://schemas.openxmlformats.org/officeDocument/2006/relationships/hyperlink" Target="https://www.aidedd.org/dnd/om.php?vf=anneau-de-controle-des-elementaires" TargetMode="External"/><Relationship Id="rId4" Type="http://schemas.openxmlformats.org/officeDocument/2006/relationships/hyperlink" Target="https://www.aidedd.org/dnd/om.php?vf=vague" TargetMode="External"/><Relationship Id="rId5" Type="http://schemas.openxmlformats.org/officeDocument/2006/relationships/hyperlink" Target="https://www.aidedd.org/dnd/om.php?vf=bouclier-gardesort"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25.5"/>
    <col customWidth="1" min="3" max="3" width="26.0"/>
    <col customWidth="1" min="4" max="5" width="32.25"/>
    <col customWidth="1" min="8" max="8" width="20.5"/>
  </cols>
  <sheetData>
    <row r="2">
      <c r="A2" s="4" t="s">
        <v>1</v>
      </c>
      <c r="B2" s="8" t="s">
        <v>14</v>
      </c>
      <c r="C2" s="8" t="s">
        <v>15</v>
      </c>
    </row>
    <row r="3">
      <c r="A3" s="8" t="s">
        <v>18</v>
      </c>
      <c r="B3" s="10">
        <v>100.0</v>
      </c>
      <c r="C3" s="10">
        <v>500.0</v>
      </c>
    </row>
    <row r="4">
      <c r="A4" s="8" t="s">
        <v>17</v>
      </c>
      <c r="B4" s="10">
        <v>500.0</v>
      </c>
      <c r="C4" s="10">
        <v>5000.0</v>
      </c>
    </row>
    <row r="5">
      <c r="A5" s="8" t="s">
        <v>28</v>
      </c>
      <c r="B5" s="10">
        <v>5000.0</v>
      </c>
      <c r="C5" s="10">
        <v>50000.0</v>
      </c>
    </row>
    <row r="7">
      <c r="A7" s="4" t="s">
        <v>29</v>
      </c>
      <c r="B7" s="8" t="s">
        <v>31</v>
      </c>
      <c r="C7" s="8" t="s">
        <v>32</v>
      </c>
      <c r="D7" s="11" t="s">
        <v>33</v>
      </c>
      <c r="E7" s="11" t="s">
        <v>34</v>
      </c>
      <c r="G7" s="9"/>
      <c r="H7" s="9"/>
      <c r="I7" s="9"/>
    </row>
    <row r="8">
      <c r="A8" s="10">
        <v>1000.0</v>
      </c>
      <c r="B8" s="12">
        <f>1</f>
        <v>1</v>
      </c>
      <c r="C8" s="10">
        <v>0.0</v>
      </c>
      <c r="D8" s="12">
        <f t="shared" ref="D8:D17" si="1">A8*0.85</f>
        <v>850</v>
      </c>
      <c r="E8" s="12">
        <f t="shared" ref="E8:E17" si="2">A8*0.8</f>
        <v>800</v>
      </c>
      <c r="I8" s="9"/>
    </row>
    <row r="9">
      <c r="A9" s="10">
        <v>4000.0</v>
      </c>
      <c r="B9" s="10">
        <v>1.0</v>
      </c>
      <c r="C9" s="10">
        <v>1.0</v>
      </c>
      <c r="D9" s="12">
        <f t="shared" si="1"/>
        <v>3400</v>
      </c>
      <c r="E9" s="12">
        <f t="shared" si="2"/>
        <v>3200</v>
      </c>
      <c r="I9" s="9"/>
    </row>
    <row r="10">
      <c r="A10" s="10">
        <v>9000.0</v>
      </c>
      <c r="B10" s="10">
        <v>2.0</v>
      </c>
      <c r="C10" s="10">
        <v>0.0</v>
      </c>
      <c r="D10" s="12">
        <f t="shared" si="1"/>
        <v>7650</v>
      </c>
      <c r="E10" s="12">
        <f t="shared" si="2"/>
        <v>7200</v>
      </c>
      <c r="I10" s="9"/>
    </row>
    <row r="11">
      <c r="A11" s="10">
        <v>16000.0</v>
      </c>
      <c r="B11" s="10">
        <v>2.0</v>
      </c>
      <c r="C11" s="10">
        <v>1.0</v>
      </c>
      <c r="D11" s="12">
        <f t="shared" si="1"/>
        <v>13600</v>
      </c>
      <c r="E11" s="12">
        <f t="shared" si="2"/>
        <v>12800</v>
      </c>
      <c r="I11" s="9"/>
    </row>
    <row r="12">
      <c r="A12" s="10">
        <v>25000.0</v>
      </c>
      <c r="B12" s="10">
        <v>2.0</v>
      </c>
      <c r="C12" s="10">
        <v>2.0</v>
      </c>
      <c r="D12" s="12">
        <f t="shared" si="1"/>
        <v>21250</v>
      </c>
      <c r="E12" s="12">
        <f t="shared" si="2"/>
        <v>20000</v>
      </c>
      <c r="I12" s="9"/>
    </row>
    <row r="13">
      <c r="A13" s="10">
        <v>36000.0</v>
      </c>
      <c r="B13" s="10">
        <v>3.0</v>
      </c>
      <c r="C13" s="10">
        <v>0.0</v>
      </c>
      <c r="D13" s="12">
        <f t="shared" si="1"/>
        <v>30600</v>
      </c>
      <c r="E13" s="12">
        <f t="shared" si="2"/>
        <v>28800</v>
      </c>
      <c r="I13" s="9"/>
    </row>
    <row r="14">
      <c r="A14" s="10">
        <v>49000.0</v>
      </c>
      <c r="B14" s="10">
        <v>3.0</v>
      </c>
      <c r="C14" s="10">
        <v>1.0</v>
      </c>
      <c r="D14" s="12">
        <f t="shared" si="1"/>
        <v>41650</v>
      </c>
      <c r="E14" s="12">
        <f t="shared" si="2"/>
        <v>39200</v>
      </c>
      <c r="G14" s="9"/>
      <c r="H14" s="9"/>
      <c r="I14" s="9"/>
    </row>
    <row r="15">
      <c r="A15" s="10">
        <v>64000.0</v>
      </c>
      <c r="B15" s="10">
        <v>3.0</v>
      </c>
      <c r="C15" s="10">
        <v>2.0</v>
      </c>
      <c r="D15" s="12">
        <f t="shared" si="1"/>
        <v>54400</v>
      </c>
      <c r="E15" s="12">
        <f t="shared" si="2"/>
        <v>51200</v>
      </c>
    </row>
    <row r="16">
      <c r="A16" s="10">
        <v>81000.0</v>
      </c>
      <c r="B16" s="10">
        <v>3.0</v>
      </c>
      <c r="C16" s="10">
        <v>3.0</v>
      </c>
      <c r="D16" s="12">
        <f t="shared" si="1"/>
        <v>68850</v>
      </c>
      <c r="E16" s="12">
        <f t="shared" si="2"/>
        <v>64800</v>
      </c>
    </row>
    <row r="17">
      <c r="A17" s="10">
        <v>100000.0</v>
      </c>
      <c r="B17" s="10">
        <v>4.0</v>
      </c>
      <c r="C17" s="10">
        <v>0.0</v>
      </c>
      <c r="D17" s="12">
        <f t="shared" si="1"/>
        <v>85000</v>
      </c>
      <c r="E17" s="12">
        <f t="shared" si="2"/>
        <v>80000</v>
      </c>
    </row>
    <row r="19">
      <c r="A19" s="35" t="s">
        <v>107</v>
      </c>
      <c r="D19" s="9" t="s">
        <v>110</v>
      </c>
    </row>
    <row r="20">
      <c r="A20" s="9" t="s">
        <v>111</v>
      </c>
      <c r="B20" s="9">
        <v>1000.0</v>
      </c>
      <c r="D20" s="9" t="s">
        <v>113</v>
      </c>
    </row>
    <row r="21">
      <c r="A21" s="9" t="s">
        <v>114</v>
      </c>
      <c r="B21">
        <f>A9-A8</f>
        <v>3000</v>
      </c>
      <c r="C21" s="9" t="s">
        <v>120</v>
      </c>
    </row>
    <row r="22">
      <c r="A22" s="9" t="s">
        <v>122</v>
      </c>
      <c r="B22">
        <f t="shared" ref="B22:B23" si="3">A10-A8</f>
        <v>8000</v>
      </c>
    </row>
    <row r="23">
      <c r="A23" s="9" t="s">
        <v>128</v>
      </c>
      <c r="B23">
        <f t="shared" si="3"/>
        <v>12000</v>
      </c>
    </row>
    <row r="24">
      <c r="A24" s="9" t="s">
        <v>140</v>
      </c>
      <c r="B24">
        <f>A12</f>
        <v>25000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3" max="3" width="26.13"/>
    <col customWidth="1" min="7" max="7" width="46.63"/>
    <col customWidth="1" min="9" max="9" width="16.88"/>
  </cols>
  <sheetData>
    <row r="1">
      <c r="A1" s="1" t="s">
        <v>0</v>
      </c>
      <c r="B1" s="1" t="s">
        <v>4</v>
      </c>
      <c r="C1" s="1" t="s">
        <v>6</v>
      </c>
      <c r="D1" s="1" t="s">
        <v>7</v>
      </c>
      <c r="E1" s="1" t="s">
        <v>9</v>
      </c>
      <c r="F1" s="1" t="s">
        <v>11</v>
      </c>
      <c r="G1" s="1"/>
      <c r="H1" s="6"/>
      <c r="I1" s="6"/>
      <c r="J1" s="6"/>
      <c r="K1" s="6"/>
      <c r="L1" s="6"/>
      <c r="M1" s="6"/>
      <c r="N1" s="6"/>
      <c r="O1" s="6"/>
      <c r="P1" s="6"/>
      <c r="Q1" s="6"/>
      <c r="R1" s="6"/>
      <c r="S1" s="6"/>
      <c r="T1" s="6"/>
      <c r="U1" s="6"/>
      <c r="V1" s="6"/>
      <c r="W1" s="6"/>
      <c r="X1" s="6"/>
      <c r="Y1" s="6"/>
      <c r="Z1" s="6"/>
    </row>
    <row r="2">
      <c r="A2" s="9" t="s">
        <v>22</v>
      </c>
      <c r="B2" s="9" t="s">
        <v>23</v>
      </c>
      <c r="D2" s="9" t="s">
        <v>25</v>
      </c>
      <c r="E2" s="9" t="s">
        <v>26</v>
      </c>
      <c r="F2" t="str">
        <f t="shared" ref="F2:F23" si="1">IF(E2="oui",C2,)</f>
        <v/>
      </c>
    </row>
    <row r="3">
      <c r="A3" s="9" t="s">
        <v>42</v>
      </c>
      <c r="B3" s="9" t="s">
        <v>44</v>
      </c>
      <c r="D3" s="9" t="s">
        <v>25</v>
      </c>
      <c r="F3" t="str">
        <f t="shared" si="1"/>
        <v/>
      </c>
    </row>
    <row r="4">
      <c r="A4" s="9" t="s">
        <v>46</v>
      </c>
      <c r="B4" s="9" t="s">
        <v>47</v>
      </c>
      <c r="D4" s="9" t="s">
        <v>49</v>
      </c>
      <c r="E4" s="9" t="s">
        <v>26</v>
      </c>
      <c r="F4" t="str">
        <f t="shared" si="1"/>
        <v/>
      </c>
    </row>
    <row r="5">
      <c r="A5" s="9" t="s">
        <v>50</v>
      </c>
      <c r="B5" s="9" t="s">
        <v>23</v>
      </c>
      <c r="D5" s="9" t="s">
        <v>25</v>
      </c>
      <c r="E5" s="9" t="s">
        <v>51</v>
      </c>
      <c r="F5" t="str">
        <f t="shared" si="1"/>
        <v/>
      </c>
    </row>
    <row r="6">
      <c r="A6" s="9" t="s">
        <v>52</v>
      </c>
      <c r="B6" s="9" t="s">
        <v>44</v>
      </c>
      <c r="D6" s="9" t="s">
        <v>25</v>
      </c>
      <c r="E6" s="9" t="s">
        <v>47</v>
      </c>
      <c r="F6" t="str">
        <f t="shared" si="1"/>
        <v/>
      </c>
    </row>
    <row r="7">
      <c r="A7" s="9" t="s">
        <v>54</v>
      </c>
      <c r="B7" s="9" t="s">
        <v>44</v>
      </c>
      <c r="D7" s="9" t="s">
        <v>25</v>
      </c>
      <c r="E7" s="9" t="s">
        <v>47</v>
      </c>
      <c r="F7" t="str">
        <f t="shared" si="1"/>
        <v/>
      </c>
    </row>
    <row r="8">
      <c r="A8" s="9" t="s">
        <v>55</v>
      </c>
      <c r="B8" s="9" t="s">
        <v>47</v>
      </c>
      <c r="D8" s="9" t="s">
        <v>49</v>
      </c>
      <c r="E8" s="9"/>
      <c r="F8" t="str">
        <f t="shared" si="1"/>
        <v/>
      </c>
    </row>
    <row r="9">
      <c r="A9" s="9" t="s">
        <v>57</v>
      </c>
      <c r="B9" s="9" t="s">
        <v>44</v>
      </c>
      <c r="D9" s="9" t="s">
        <v>25</v>
      </c>
      <c r="E9" s="9"/>
      <c r="F9" t="str">
        <f t="shared" si="1"/>
        <v/>
      </c>
    </row>
    <row r="10">
      <c r="A10" s="9" t="s">
        <v>59</v>
      </c>
      <c r="B10" s="9" t="s">
        <v>44</v>
      </c>
      <c r="D10" s="9" t="s">
        <v>25</v>
      </c>
      <c r="E10" s="9" t="s">
        <v>26</v>
      </c>
      <c r="F10" t="str">
        <f t="shared" si="1"/>
        <v/>
      </c>
    </row>
    <row r="11">
      <c r="A11" s="9" t="s">
        <v>63</v>
      </c>
      <c r="B11" s="9" t="s">
        <v>47</v>
      </c>
      <c r="D11" s="9" t="s">
        <v>66</v>
      </c>
      <c r="E11" s="9" t="s">
        <v>47</v>
      </c>
      <c r="F11" t="str">
        <f t="shared" si="1"/>
        <v/>
      </c>
    </row>
    <row r="12">
      <c r="A12" s="9" t="s">
        <v>69</v>
      </c>
      <c r="B12" s="9" t="s">
        <v>47</v>
      </c>
      <c r="D12" s="9" t="s">
        <v>49</v>
      </c>
      <c r="E12" s="9" t="s">
        <v>26</v>
      </c>
      <c r="F12" t="str">
        <f t="shared" si="1"/>
        <v/>
      </c>
    </row>
    <row r="13">
      <c r="A13" s="9" t="s">
        <v>72</v>
      </c>
      <c r="B13" s="9" t="s">
        <v>47</v>
      </c>
      <c r="F13" t="str">
        <f t="shared" si="1"/>
        <v/>
      </c>
    </row>
    <row r="14">
      <c r="A14" s="9" t="s">
        <v>76</v>
      </c>
      <c r="B14" s="9" t="s">
        <v>47</v>
      </c>
      <c r="D14" s="9" t="s">
        <v>49</v>
      </c>
      <c r="F14" t="str">
        <f t="shared" si="1"/>
        <v/>
      </c>
    </row>
    <row r="15">
      <c r="A15" s="9" t="s">
        <v>80</v>
      </c>
      <c r="B15" s="9" t="s">
        <v>47</v>
      </c>
      <c r="E15" s="9" t="s">
        <v>26</v>
      </c>
      <c r="F15" t="str">
        <f t="shared" si="1"/>
        <v/>
      </c>
    </row>
    <row r="16">
      <c r="A16" s="9" t="s">
        <v>84</v>
      </c>
      <c r="B16" s="9" t="s">
        <v>44</v>
      </c>
      <c r="E16" s="9" t="s">
        <v>26</v>
      </c>
      <c r="F16" t="str">
        <f t="shared" si="1"/>
        <v/>
      </c>
    </row>
    <row r="17">
      <c r="A17" s="9" t="s">
        <v>87</v>
      </c>
      <c r="B17" s="9" t="s">
        <v>47</v>
      </c>
      <c r="E17" s="9" t="s">
        <v>26</v>
      </c>
      <c r="F17" t="str">
        <f t="shared" si="1"/>
        <v/>
      </c>
    </row>
    <row r="18">
      <c r="A18" s="9" t="s">
        <v>91</v>
      </c>
      <c r="B18" s="9" t="s">
        <v>47</v>
      </c>
      <c r="E18" s="9" t="s">
        <v>26</v>
      </c>
      <c r="F18" t="str">
        <f t="shared" si="1"/>
        <v/>
      </c>
    </row>
    <row r="19">
      <c r="A19" s="9" t="s">
        <v>92</v>
      </c>
      <c r="B19" s="9" t="s">
        <v>26</v>
      </c>
      <c r="E19" s="9" t="s">
        <v>26</v>
      </c>
      <c r="F19" t="str">
        <f t="shared" si="1"/>
        <v/>
      </c>
    </row>
    <row r="20">
      <c r="A20" s="9" t="s">
        <v>94</v>
      </c>
      <c r="B20" s="9" t="s">
        <v>47</v>
      </c>
      <c r="E20" s="9" t="s">
        <v>26</v>
      </c>
      <c r="F20" t="str">
        <f t="shared" si="1"/>
        <v/>
      </c>
      <c r="I20" s="25" t="s">
        <v>95</v>
      </c>
      <c r="J20" s="29">
        <f>SUM(F2:F50)</f>
        <v>0</v>
      </c>
    </row>
    <row r="21">
      <c r="A21" s="9" t="s">
        <v>101</v>
      </c>
      <c r="B21" s="9" t="s">
        <v>47</v>
      </c>
      <c r="E21" s="9" t="s">
        <v>26</v>
      </c>
      <c r="F21" t="str">
        <f t="shared" si="1"/>
        <v/>
      </c>
      <c r="H21" s="9" t="s">
        <v>103</v>
      </c>
      <c r="I21" s="30"/>
      <c r="J21" s="31"/>
    </row>
    <row r="22">
      <c r="A22" s="9" t="s">
        <v>106</v>
      </c>
      <c r="B22" s="9" t="s">
        <v>47</v>
      </c>
      <c r="E22" s="9" t="s">
        <v>26</v>
      </c>
      <c r="F22" t="str">
        <f t="shared" si="1"/>
        <v/>
      </c>
      <c r="I22" s="30"/>
      <c r="J22" s="31"/>
    </row>
    <row r="23">
      <c r="A23" s="9" t="s">
        <v>108</v>
      </c>
      <c r="B23" s="9" t="s">
        <v>47</v>
      </c>
      <c r="F23" t="str">
        <f t="shared" si="1"/>
        <v/>
      </c>
      <c r="I23" s="30"/>
      <c r="J23" s="31"/>
    </row>
    <row r="24">
      <c r="I24" s="30"/>
      <c r="J24" s="31"/>
    </row>
    <row r="25">
      <c r="F25" t="str">
        <f t="shared" ref="F25:F59" si="2">IF(E25="oui",C25,)</f>
        <v/>
      </c>
      <c r="I25" s="38"/>
      <c r="J25" s="39"/>
    </row>
    <row r="26">
      <c r="F26" t="str">
        <f t="shared" si="2"/>
        <v/>
      </c>
      <c r="I26" s="38"/>
      <c r="J26" s="39"/>
    </row>
    <row r="27">
      <c r="F27" t="str">
        <f t="shared" si="2"/>
        <v/>
      </c>
      <c r="I27" s="38"/>
      <c r="J27" s="39"/>
    </row>
    <row r="28">
      <c r="F28" t="str">
        <f t="shared" si="2"/>
        <v/>
      </c>
      <c r="I28" s="38"/>
      <c r="J28" s="39"/>
    </row>
    <row r="29">
      <c r="F29" t="str">
        <f t="shared" si="2"/>
        <v/>
      </c>
      <c r="I29" s="38"/>
      <c r="J29" s="39"/>
    </row>
    <row r="30">
      <c r="F30" t="str">
        <f t="shared" si="2"/>
        <v/>
      </c>
      <c r="I30" s="38"/>
      <c r="J30" s="39"/>
    </row>
    <row r="31">
      <c r="F31" t="str">
        <f t="shared" si="2"/>
        <v/>
      </c>
      <c r="I31" s="38"/>
      <c r="J31" s="39"/>
    </row>
    <row r="32">
      <c r="F32" t="str">
        <f t="shared" si="2"/>
        <v/>
      </c>
      <c r="I32" s="38"/>
      <c r="J32" s="39"/>
    </row>
    <row r="33">
      <c r="F33" t="str">
        <f t="shared" si="2"/>
        <v/>
      </c>
      <c r="I33" s="40" t="s">
        <v>129</v>
      </c>
      <c r="J33" s="41">
        <f>SUM(J20:J31,)</f>
        <v>0</v>
      </c>
      <c r="L33" s="9" t="s">
        <v>136</v>
      </c>
      <c r="M33">
        <f>38533 - J33</f>
        <v>38533</v>
      </c>
      <c r="N33" s="9" t="s">
        <v>143</v>
      </c>
    </row>
    <row r="34">
      <c r="F34" t="str">
        <f t="shared" si="2"/>
        <v/>
      </c>
    </row>
    <row r="35">
      <c r="F35" t="str">
        <f t="shared" si="2"/>
        <v/>
      </c>
    </row>
    <row r="36">
      <c r="F36" t="str">
        <f t="shared" si="2"/>
        <v/>
      </c>
    </row>
    <row r="37">
      <c r="F37" t="str">
        <f t="shared" si="2"/>
        <v/>
      </c>
    </row>
    <row r="38">
      <c r="F38" t="str">
        <f t="shared" si="2"/>
        <v/>
      </c>
    </row>
    <row r="39">
      <c r="F39" t="str">
        <f t="shared" si="2"/>
        <v/>
      </c>
    </row>
    <row r="40">
      <c r="F40" t="str">
        <f t="shared" si="2"/>
        <v/>
      </c>
    </row>
    <row r="41">
      <c r="F41" t="str">
        <f t="shared" si="2"/>
        <v/>
      </c>
    </row>
    <row r="42">
      <c r="F42" t="str">
        <f t="shared" si="2"/>
        <v/>
      </c>
    </row>
    <row r="43">
      <c r="F43" t="str">
        <f t="shared" si="2"/>
        <v/>
      </c>
    </row>
    <row r="44">
      <c r="F44" t="str">
        <f t="shared" si="2"/>
        <v/>
      </c>
    </row>
    <row r="45">
      <c r="F45" t="str">
        <f t="shared" si="2"/>
        <v/>
      </c>
    </row>
    <row r="46">
      <c r="F46" t="str">
        <f t="shared" si="2"/>
        <v/>
      </c>
    </row>
    <row r="47">
      <c r="F47" t="str">
        <f t="shared" si="2"/>
        <v/>
      </c>
    </row>
    <row r="48">
      <c r="F48" t="str">
        <f t="shared" si="2"/>
        <v/>
      </c>
    </row>
    <row r="49">
      <c r="F49" t="str">
        <f t="shared" si="2"/>
        <v/>
      </c>
    </row>
    <row r="50">
      <c r="F50" t="str">
        <f t="shared" si="2"/>
        <v/>
      </c>
    </row>
    <row r="51">
      <c r="F51" t="str">
        <f t="shared" si="2"/>
        <v/>
      </c>
    </row>
    <row r="52">
      <c r="F52" t="str">
        <f t="shared" si="2"/>
        <v/>
      </c>
    </row>
    <row r="53">
      <c r="F53" t="str">
        <f t="shared" si="2"/>
        <v/>
      </c>
    </row>
    <row r="54">
      <c r="F54" t="str">
        <f t="shared" si="2"/>
        <v/>
      </c>
    </row>
    <row r="55">
      <c r="F55" t="str">
        <f t="shared" si="2"/>
        <v/>
      </c>
    </row>
    <row r="56">
      <c r="F56" t="str">
        <f t="shared" si="2"/>
        <v/>
      </c>
    </row>
    <row r="57">
      <c r="F57" t="str">
        <f t="shared" si="2"/>
        <v/>
      </c>
    </row>
    <row r="58">
      <c r="F58" t="str">
        <f t="shared" si="2"/>
        <v/>
      </c>
    </row>
    <row r="59">
      <c r="F59" t="str">
        <f t="shared" si="2"/>
        <v/>
      </c>
    </row>
  </sheetData>
  <conditionalFormatting sqref="A2:E7 A8:E14">
    <cfRule type="expression" dxfId="0" priority="1">
      <formula>IF($E2="oui",1,"")</formula>
    </cfRule>
  </conditionalFormatting>
  <conditionalFormatting sqref="A2:E7 A8:E14">
    <cfRule type="expression" dxfId="1" priority="2">
      <formula>IF($E2="oui","",1)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 customWidth="1" min="2" max="2" width="22.13"/>
    <col customWidth="1" min="3" max="4" width="26.75"/>
    <col customWidth="1" min="5" max="5" width="17.75"/>
    <col customWidth="1" min="6" max="6" width="23.13"/>
    <col customWidth="1" min="7" max="7" width="16.63"/>
    <col customWidth="1" min="8" max="8" width="31.25"/>
    <col customWidth="1" min="9" max="9" width="36.63"/>
  </cols>
  <sheetData>
    <row r="1">
      <c r="A1" s="3" t="s">
        <v>2</v>
      </c>
      <c r="B1" s="5"/>
      <c r="C1" s="5"/>
      <c r="D1" s="7" t="s">
        <v>11</v>
      </c>
      <c r="E1" s="5"/>
      <c r="F1" s="5"/>
      <c r="G1" s="5"/>
      <c r="H1" s="5"/>
      <c r="I1" s="5"/>
      <c r="J1" s="5"/>
      <c r="K1" s="5"/>
      <c r="L1" s="5"/>
      <c r="M1" s="5"/>
      <c r="N1" s="5"/>
      <c r="O1" s="5"/>
      <c r="P1" s="5"/>
      <c r="Q1" s="5"/>
      <c r="R1" s="5"/>
      <c r="S1" s="5"/>
      <c r="T1" s="5"/>
      <c r="U1" s="5"/>
      <c r="V1" s="5"/>
      <c r="W1" s="5"/>
      <c r="X1" s="5"/>
      <c r="Y1" s="5"/>
      <c r="Z1" s="5"/>
      <c r="AA1" s="5"/>
      <c r="AB1" s="5"/>
      <c r="AC1" s="5"/>
    </row>
    <row r="2">
      <c r="A2" s="13" t="s">
        <v>30</v>
      </c>
      <c r="B2" s="9" t="s">
        <v>60</v>
      </c>
      <c r="F2" s="2" t="s">
        <v>61</v>
      </c>
      <c r="G2" s="2" t="s">
        <v>62</v>
      </c>
      <c r="H2" s="14" t="s">
        <v>64</v>
      </c>
      <c r="I2" s="15" t="s">
        <v>68</v>
      </c>
    </row>
    <row r="3">
      <c r="B3" s="9" t="s">
        <v>70</v>
      </c>
      <c r="F3" s="16" t="s">
        <v>71</v>
      </c>
      <c r="G3" s="9" t="s">
        <v>73</v>
      </c>
      <c r="H3" s="17" t="s">
        <v>74</v>
      </c>
      <c r="I3" s="18" t="s">
        <v>73</v>
      </c>
    </row>
    <row r="4">
      <c r="A4" s="13"/>
      <c r="F4" s="16" t="s">
        <v>81</v>
      </c>
      <c r="G4" s="16" t="s">
        <v>81</v>
      </c>
      <c r="H4" s="19" t="s">
        <v>82</v>
      </c>
      <c r="I4" s="20" t="s">
        <v>83</v>
      </c>
    </row>
    <row r="5">
      <c r="A5" s="2" t="s">
        <v>86</v>
      </c>
      <c r="D5" s="9">
        <v>0.0</v>
      </c>
      <c r="F5" s="16" t="s">
        <v>88</v>
      </c>
      <c r="G5" s="16" t="s">
        <v>88</v>
      </c>
      <c r="H5" s="19" t="s">
        <v>89</v>
      </c>
      <c r="I5" s="21" t="s">
        <v>90</v>
      </c>
    </row>
    <row r="6">
      <c r="F6" s="9" t="s">
        <v>93</v>
      </c>
      <c r="H6" s="22"/>
      <c r="I6" s="23" t="s">
        <v>93</v>
      </c>
    </row>
    <row r="7">
      <c r="A7" s="9" t="s">
        <v>97</v>
      </c>
      <c r="G7" s="9" t="s">
        <v>98</v>
      </c>
      <c r="H7" s="26" t="s">
        <v>98</v>
      </c>
      <c r="I7" s="18" t="s">
        <v>98</v>
      </c>
    </row>
    <row r="8">
      <c r="A8" s="9" t="s">
        <v>99</v>
      </c>
      <c r="F8" s="16" t="s">
        <v>100</v>
      </c>
      <c r="H8" s="27" t="s">
        <v>100</v>
      </c>
      <c r="I8" s="28"/>
    </row>
    <row r="9">
      <c r="A9" s="2"/>
      <c r="F9" s="9" t="s">
        <v>102</v>
      </c>
      <c r="H9" s="17" t="s">
        <v>102</v>
      </c>
      <c r="I9" s="28"/>
    </row>
    <row r="10">
      <c r="A10" s="32" t="s">
        <v>104</v>
      </c>
      <c r="B10" s="33"/>
      <c r="C10" s="34"/>
      <c r="D10" s="36"/>
      <c r="F10" s="9" t="s">
        <v>109</v>
      </c>
      <c r="H10" s="22"/>
      <c r="I10" s="28"/>
    </row>
    <row r="11">
      <c r="A11" s="9" t="s">
        <v>112</v>
      </c>
      <c r="D11" s="37"/>
      <c r="E11" s="36"/>
      <c r="G11" s="9" t="s">
        <v>115</v>
      </c>
      <c r="H11" s="26" t="s">
        <v>115</v>
      </c>
      <c r="I11" s="18" t="s">
        <v>115</v>
      </c>
      <c r="J11" s="36"/>
      <c r="K11" s="36"/>
      <c r="L11" s="36"/>
      <c r="M11" s="36"/>
      <c r="N11" s="36"/>
      <c r="O11" s="36"/>
      <c r="P11" s="36"/>
      <c r="Q11" s="36"/>
      <c r="R11" s="36"/>
      <c r="S11" s="36"/>
      <c r="T11" s="36"/>
      <c r="U11" s="36"/>
      <c r="V11" s="36"/>
      <c r="W11" s="36"/>
      <c r="X11" s="36"/>
      <c r="Y11" s="36"/>
      <c r="Z11" s="36"/>
      <c r="AA11" s="36"/>
      <c r="AB11" s="36"/>
      <c r="AC11" s="36"/>
    </row>
    <row r="12">
      <c r="A12" s="9" t="s">
        <v>118</v>
      </c>
      <c r="H12" s="9" t="s">
        <v>119</v>
      </c>
    </row>
    <row r="13">
      <c r="A13" s="14" t="s">
        <v>121</v>
      </c>
      <c r="B13" s="42" t="s">
        <v>123</v>
      </c>
      <c r="E13" s="43" t="s">
        <v>141</v>
      </c>
      <c r="F13" s="43" t="s">
        <v>142</v>
      </c>
      <c r="G13" s="44"/>
      <c r="H13" s="9" t="s">
        <v>147</v>
      </c>
    </row>
    <row r="14">
      <c r="A14" s="13" t="s">
        <v>148</v>
      </c>
      <c r="B14" s="9" t="s">
        <v>149</v>
      </c>
      <c r="E14" s="44"/>
      <c r="F14" s="43" t="s">
        <v>150</v>
      </c>
      <c r="G14" s="44"/>
    </row>
    <row r="15">
      <c r="A15" s="9" t="s">
        <v>151</v>
      </c>
      <c r="E15" s="44"/>
      <c r="F15" s="43" t="s">
        <v>152</v>
      </c>
      <c r="G15" s="44"/>
      <c r="H15" s="9" t="s">
        <v>153</v>
      </c>
    </row>
    <row r="16">
      <c r="A16" s="42" t="s">
        <v>154</v>
      </c>
      <c r="B16" s="9" t="s">
        <v>155</v>
      </c>
      <c r="E16" s="45" t="s">
        <v>156</v>
      </c>
      <c r="F16" s="46" t="s">
        <v>157</v>
      </c>
      <c r="G16" s="47"/>
    </row>
    <row r="17">
      <c r="A17" s="42" t="s">
        <v>158</v>
      </c>
      <c r="B17" s="9" t="s">
        <v>159</v>
      </c>
      <c r="E17" s="47"/>
      <c r="F17" s="45" t="s">
        <v>121</v>
      </c>
      <c r="G17" s="47"/>
    </row>
    <row r="18">
      <c r="A18" s="14" t="s">
        <v>160</v>
      </c>
      <c r="E18" s="47"/>
      <c r="F18" s="45" t="s">
        <v>161</v>
      </c>
      <c r="G18" s="47"/>
    </row>
    <row r="19">
      <c r="A19" s="48" t="s">
        <v>162</v>
      </c>
      <c r="E19" s="47"/>
      <c r="F19" s="45" t="s">
        <v>163</v>
      </c>
      <c r="G19" s="47"/>
    </row>
    <row r="20">
      <c r="A20" s="9" t="s">
        <v>164</v>
      </c>
      <c r="F20" s="9"/>
    </row>
    <row r="21">
      <c r="A21" s="48" t="s">
        <v>165</v>
      </c>
      <c r="F21" s="9"/>
    </row>
    <row r="22">
      <c r="F22" s="9"/>
    </row>
    <row r="23">
      <c r="F23" s="9"/>
    </row>
    <row r="24">
      <c r="F24" s="9"/>
    </row>
    <row r="26">
      <c r="A26" s="49" t="s">
        <v>166</v>
      </c>
      <c r="B26" s="5"/>
      <c r="C26" s="5"/>
      <c r="D26" s="3" t="s">
        <v>11</v>
      </c>
      <c r="E26" s="5"/>
      <c r="F26" s="5"/>
      <c r="G26" s="5"/>
      <c r="H26" s="5"/>
      <c r="I26" s="5"/>
      <c r="J26" s="5"/>
      <c r="K26" s="5"/>
      <c r="L26" s="5"/>
      <c r="M26" s="5"/>
      <c r="N26" s="5"/>
      <c r="O26" s="5"/>
      <c r="P26" s="5"/>
      <c r="Q26" s="5"/>
      <c r="R26" s="5"/>
      <c r="S26" s="5"/>
      <c r="T26" s="5"/>
      <c r="U26" s="5"/>
      <c r="V26" s="5"/>
      <c r="W26" s="5"/>
      <c r="X26" s="5"/>
      <c r="Y26" s="5"/>
      <c r="Z26" s="5"/>
      <c r="AA26" s="5"/>
      <c r="AB26" s="5"/>
      <c r="AC26" s="5"/>
    </row>
    <row r="27">
      <c r="A27" s="9" t="s">
        <v>167</v>
      </c>
      <c r="B27" s="9" t="s">
        <v>168</v>
      </c>
      <c r="D27" s="9">
        <v>0.0</v>
      </c>
    </row>
    <row r="29">
      <c r="A29" s="16" t="s">
        <v>169</v>
      </c>
      <c r="B29" s="13" t="s">
        <v>170</v>
      </c>
    </row>
    <row r="30">
      <c r="A30" s="50"/>
    </row>
    <row r="41">
      <c r="B41" s="2"/>
      <c r="C41" s="2"/>
    </row>
    <row r="42">
      <c r="B42" s="2"/>
      <c r="C42" s="2"/>
    </row>
    <row r="44">
      <c r="A44" s="3" t="s">
        <v>171</v>
      </c>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row>
    <row r="45">
      <c r="A45" s="9" t="s">
        <v>172</v>
      </c>
    </row>
    <row r="46">
      <c r="B46" s="9" t="s">
        <v>173</v>
      </c>
      <c r="C46" s="9"/>
      <c r="D46" s="9"/>
    </row>
    <row r="47">
      <c r="B47" s="9" t="s">
        <v>174</v>
      </c>
      <c r="C47" s="9"/>
      <c r="D47" s="9"/>
    </row>
    <row r="48">
      <c r="A48" s="9" t="s">
        <v>175</v>
      </c>
    </row>
    <row r="51">
      <c r="A51" s="52"/>
      <c r="B51" s="53" t="s">
        <v>8</v>
      </c>
      <c r="C51" s="53" t="s">
        <v>176</v>
      </c>
      <c r="D51" s="53" t="s">
        <v>177</v>
      </c>
      <c r="E51" s="53" t="s">
        <v>178</v>
      </c>
      <c r="F51" s="54" t="s">
        <v>179</v>
      </c>
      <c r="G51" s="53" t="s">
        <v>180</v>
      </c>
      <c r="H51" s="53" t="s">
        <v>12</v>
      </c>
    </row>
    <row r="52">
      <c r="A52" s="55" t="s">
        <v>105</v>
      </c>
      <c r="B52" s="56" t="s">
        <v>131</v>
      </c>
      <c r="C52" s="57">
        <v>1.0</v>
      </c>
      <c r="D52" s="56" t="s">
        <v>181</v>
      </c>
      <c r="E52" s="58"/>
      <c r="F52" s="59">
        <v>500.0</v>
      </c>
      <c r="G52" s="60"/>
      <c r="H52" s="56" t="s">
        <v>49</v>
      </c>
    </row>
    <row r="53">
      <c r="A53" s="61" t="s">
        <v>182</v>
      </c>
      <c r="B53" s="56" t="s">
        <v>28</v>
      </c>
      <c r="C53" s="57">
        <v>2.0</v>
      </c>
      <c r="D53" s="56" t="s">
        <v>181</v>
      </c>
      <c r="E53" s="56" t="s">
        <v>183</v>
      </c>
      <c r="F53" s="59" t="s">
        <v>58</v>
      </c>
      <c r="G53" s="60"/>
      <c r="H53" s="56" t="s">
        <v>184</v>
      </c>
    </row>
    <row r="54">
      <c r="A54" s="62" t="s">
        <v>185</v>
      </c>
      <c r="B54" s="62" t="s">
        <v>17</v>
      </c>
      <c r="C54" s="63"/>
      <c r="D54" s="62"/>
      <c r="E54" s="62" t="s">
        <v>183</v>
      </c>
      <c r="F54" s="52"/>
      <c r="G54" s="64"/>
      <c r="H54" s="62" t="s">
        <v>49</v>
      </c>
    </row>
    <row r="55">
      <c r="A55" s="55" t="s">
        <v>186</v>
      </c>
      <c r="B55" s="56" t="s">
        <v>17</v>
      </c>
      <c r="C55" s="57">
        <v>3.0</v>
      </c>
      <c r="D55" s="56" t="s">
        <v>187</v>
      </c>
      <c r="E55" s="56" t="s">
        <v>183</v>
      </c>
      <c r="F55" s="59">
        <v>4312.0</v>
      </c>
      <c r="G55" s="65"/>
      <c r="H55" s="56" t="s">
        <v>188</v>
      </c>
    </row>
    <row r="56">
      <c r="A56" s="55" t="s">
        <v>189</v>
      </c>
      <c r="B56" s="56" t="s">
        <v>190</v>
      </c>
      <c r="C56" s="57">
        <v>4.0</v>
      </c>
      <c r="D56" s="56" t="s">
        <v>181</v>
      </c>
      <c r="E56" s="58"/>
      <c r="F56" s="59" t="s">
        <v>191</v>
      </c>
      <c r="G56" s="60"/>
      <c r="H56" s="58"/>
    </row>
    <row r="57">
      <c r="A57" s="55" t="s">
        <v>192</v>
      </c>
      <c r="B57" s="56"/>
      <c r="C57" s="57">
        <v>5.0</v>
      </c>
      <c r="D57" s="56" t="s">
        <v>181</v>
      </c>
      <c r="E57" s="56"/>
      <c r="F57" s="59" t="s">
        <v>193</v>
      </c>
      <c r="G57" s="65"/>
      <c r="H57" s="56"/>
    </row>
    <row r="58">
      <c r="A58" s="66" t="s">
        <v>194</v>
      </c>
      <c r="B58" s="43" t="s">
        <v>195</v>
      </c>
      <c r="C58" s="68">
        <v>6.0</v>
      </c>
      <c r="D58" s="43" t="s">
        <v>181</v>
      </c>
      <c r="E58" s="43" t="s">
        <v>195</v>
      </c>
      <c r="F58" s="69"/>
      <c r="G58" s="70">
        <v>50400.0</v>
      </c>
      <c r="H58" s="43" t="s">
        <v>37</v>
      </c>
    </row>
    <row r="59">
      <c r="A59" s="66" t="s">
        <v>196</v>
      </c>
      <c r="B59" s="43" t="s">
        <v>195</v>
      </c>
      <c r="C59" s="68">
        <v>7.0</v>
      </c>
      <c r="D59" s="43" t="s">
        <v>181</v>
      </c>
      <c r="E59" s="43" t="s">
        <v>195</v>
      </c>
      <c r="F59" s="69"/>
      <c r="G59" s="70">
        <v>12000.0</v>
      </c>
      <c r="H59" s="43" t="s">
        <v>37</v>
      </c>
    </row>
    <row r="60">
      <c r="A60" s="73" t="s">
        <v>200</v>
      </c>
      <c r="B60" s="73" t="s">
        <v>28</v>
      </c>
      <c r="C60" s="74">
        <v>8.0</v>
      </c>
      <c r="D60" s="73" t="s">
        <v>201</v>
      </c>
      <c r="E60" s="73" t="s">
        <v>183</v>
      </c>
      <c r="F60" s="76"/>
      <c r="G60" s="78"/>
      <c r="H60" s="73" t="s">
        <v>202</v>
      </c>
      <c r="I60" s="76"/>
      <c r="J60" s="76"/>
    </row>
    <row r="61">
      <c r="A61" s="61" t="s">
        <v>203</v>
      </c>
      <c r="B61" s="56" t="s">
        <v>126</v>
      </c>
      <c r="C61" s="57"/>
      <c r="D61" s="56" t="s">
        <v>205</v>
      </c>
      <c r="E61" s="58"/>
      <c r="F61" s="69"/>
      <c r="G61" s="60"/>
      <c r="H61" s="56" t="s">
        <v>207</v>
      </c>
    </row>
    <row r="62">
      <c r="A62" s="55" t="s">
        <v>209</v>
      </c>
      <c r="B62" s="56" t="s">
        <v>126</v>
      </c>
      <c r="C62" s="57"/>
      <c r="D62" s="56" t="s">
        <v>181</v>
      </c>
      <c r="E62" s="58"/>
      <c r="F62" s="69"/>
      <c r="G62" s="60"/>
      <c r="H62" s="56" t="s">
        <v>212</v>
      </c>
    </row>
    <row r="63">
      <c r="A63" s="55" t="s">
        <v>216</v>
      </c>
      <c r="B63" s="56" t="s">
        <v>126</v>
      </c>
      <c r="C63" s="57"/>
      <c r="D63" s="56" t="s">
        <v>181</v>
      </c>
      <c r="E63" s="58"/>
      <c r="F63" s="69"/>
      <c r="G63" s="60"/>
      <c r="H63" s="56" t="s">
        <v>202</v>
      </c>
      <c r="I63" s="42" t="s">
        <v>218</v>
      </c>
    </row>
    <row r="64">
      <c r="A64" s="61" t="s">
        <v>226</v>
      </c>
      <c r="B64" s="56" t="s">
        <v>126</v>
      </c>
      <c r="C64" s="57"/>
      <c r="D64" s="56" t="s">
        <v>181</v>
      </c>
      <c r="E64" s="58"/>
      <c r="F64" s="69"/>
      <c r="G64" s="60"/>
      <c r="H64" s="56" t="s">
        <v>202</v>
      </c>
      <c r="I64" s="42" t="s">
        <v>218</v>
      </c>
    </row>
    <row r="65">
      <c r="A65" s="55" t="s">
        <v>229</v>
      </c>
      <c r="B65" s="56" t="s">
        <v>126</v>
      </c>
      <c r="C65" s="57"/>
      <c r="D65" s="56" t="s">
        <v>181</v>
      </c>
      <c r="E65" s="58"/>
      <c r="F65" s="69"/>
      <c r="G65" s="60"/>
      <c r="H65" s="56" t="s">
        <v>202</v>
      </c>
      <c r="I65" s="42" t="s">
        <v>218</v>
      </c>
    </row>
    <row r="66">
      <c r="A66" s="82" t="s">
        <v>230</v>
      </c>
      <c r="B66" s="9" t="s">
        <v>28</v>
      </c>
      <c r="C66" s="83"/>
      <c r="D66" s="9"/>
      <c r="F66" s="84" t="s">
        <v>231</v>
      </c>
      <c r="G66" s="85"/>
      <c r="H66" s="9" t="s">
        <v>202</v>
      </c>
      <c r="L66" s="76"/>
      <c r="M66" s="76"/>
      <c r="N66" s="76"/>
      <c r="O66" s="76"/>
      <c r="P66" s="76"/>
      <c r="Q66" s="76"/>
      <c r="R66" s="76"/>
      <c r="S66" s="76"/>
      <c r="T66" s="76"/>
      <c r="U66" s="76"/>
      <c r="V66" s="76"/>
      <c r="W66" s="76"/>
      <c r="X66" s="76"/>
      <c r="Y66" s="76"/>
      <c r="Z66" s="76"/>
      <c r="AA66" s="76"/>
      <c r="AB66" s="76"/>
      <c r="AC66" s="76"/>
    </row>
    <row r="67">
      <c r="A67" s="62" t="s">
        <v>232</v>
      </c>
      <c r="B67" s="9" t="s">
        <v>195</v>
      </c>
      <c r="C67" s="86"/>
      <c r="E67" s="9"/>
      <c r="F67" s="87"/>
      <c r="G67" s="88" t="s">
        <v>233</v>
      </c>
      <c r="H67" s="9" t="s">
        <v>37</v>
      </c>
    </row>
    <row r="68">
      <c r="A68" s="90" t="s">
        <v>234</v>
      </c>
      <c r="B68" s="9" t="s">
        <v>17</v>
      </c>
      <c r="C68" s="86"/>
      <c r="F68" s="84" t="s">
        <v>236</v>
      </c>
      <c r="G68" s="85"/>
      <c r="H68" s="9" t="s">
        <v>237</v>
      </c>
    </row>
    <row r="69">
      <c r="A69" s="62" t="s">
        <v>239</v>
      </c>
      <c r="B69" s="9" t="s">
        <v>28</v>
      </c>
      <c r="C69" s="86"/>
      <c r="F69" s="84" t="s">
        <v>231</v>
      </c>
      <c r="G69" s="85"/>
    </row>
    <row r="70">
      <c r="A70" s="62" t="s">
        <v>242</v>
      </c>
      <c r="B70" s="9" t="s">
        <v>243</v>
      </c>
      <c r="C70" s="86"/>
      <c r="E70" s="9" t="s">
        <v>183</v>
      </c>
      <c r="F70" s="87"/>
      <c r="G70" s="85"/>
    </row>
    <row r="71">
      <c r="A71" s="90" t="s">
        <v>245</v>
      </c>
      <c r="B71" s="9" t="s">
        <v>195</v>
      </c>
      <c r="D71" s="9"/>
      <c r="E71" s="9" t="s">
        <v>246</v>
      </c>
      <c r="F71" s="87"/>
      <c r="G71" s="88">
        <v>3000.0</v>
      </c>
      <c r="H71" s="9" t="s">
        <v>37</v>
      </c>
    </row>
    <row r="72">
      <c r="A72" s="62" t="s">
        <v>247</v>
      </c>
      <c r="B72" s="9" t="s">
        <v>195</v>
      </c>
      <c r="C72" s="83"/>
      <c r="E72" s="9" t="s">
        <v>195</v>
      </c>
      <c r="F72" s="84" t="s">
        <v>248</v>
      </c>
      <c r="G72" s="88">
        <v>14000.0</v>
      </c>
      <c r="H72" s="9" t="s">
        <v>37</v>
      </c>
    </row>
    <row r="73">
      <c r="A73" s="62" t="s">
        <v>249</v>
      </c>
      <c r="C73" s="86"/>
      <c r="E73" s="9" t="s">
        <v>246</v>
      </c>
      <c r="F73" s="84" t="s">
        <v>250</v>
      </c>
      <c r="G73" s="88" t="s">
        <v>251</v>
      </c>
      <c r="H73" s="9" t="s">
        <v>37</v>
      </c>
    </row>
    <row r="74">
      <c r="A74" s="9" t="s">
        <v>252</v>
      </c>
      <c r="B74" s="9" t="s">
        <v>28</v>
      </c>
      <c r="C74" s="86"/>
      <c r="E74" s="9" t="s">
        <v>183</v>
      </c>
      <c r="F74" s="87"/>
      <c r="G74" s="85"/>
      <c r="H74" s="9" t="s">
        <v>202</v>
      </c>
    </row>
    <row r="75">
      <c r="A75" s="90" t="s">
        <v>253</v>
      </c>
      <c r="C75" s="86"/>
      <c r="F75" s="87"/>
      <c r="G75" s="85"/>
      <c r="H75" s="9" t="s">
        <v>37</v>
      </c>
    </row>
    <row r="76">
      <c r="A76" s="9" t="s">
        <v>254</v>
      </c>
      <c r="B76" s="2"/>
      <c r="C76" s="83"/>
      <c r="D76" s="2"/>
      <c r="E76" s="2"/>
      <c r="F76" s="84" t="s">
        <v>255</v>
      </c>
      <c r="G76" s="88">
        <v>10000.0</v>
      </c>
      <c r="H76" s="9" t="s">
        <v>37</v>
      </c>
    </row>
    <row r="77">
      <c r="A77" s="9" t="s">
        <v>257</v>
      </c>
      <c r="B77" s="2"/>
      <c r="C77" s="2"/>
      <c r="D77" s="2"/>
      <c r="E77" s="2"/>
      <c r="F77" s="9">
        <v>16000.0</v>
      </c>
      <c r="G77" s="88"/>
    </row>
    <row r="78">
      <c r="A78" s="2"/>
      <c r="B78" s="2"/>
      <c r="C78" s="2"/>
      <c r="D78" s="2"/>
      <c r="E78" s="2"/>
      <c r="G78" s="85"/>
    </row>
    <row r="79">
      <c r="A79" s="2"/>
      <c r="B79" s="2"/>
      <c r="C79" s="2"/>
      <c r="D79" s="2"/>
      <c r="E79" s="2"/>
      <c r="G79" s="85"/>
    </row>
    <row r="80">
      <c r="A80" s="2"/>
      <c r="B80" s="2"/>
      <c r="C80" s="2"/>
      <c r="D80" s="2"/>
      <c r="E80" s="2"/>
      <c r="G80" s="85"/>
    </row>
    <row r="81">
      <c r="A81" s="2"/>
      <c r="B81" s="2"/>
      <c r="C81" s="2"/>
      <c r="D81" s="2"/>
      <c r="E81" s="2"/>
    </row>
    <row r="82">
      <c r="A82" s="2"/>
      <c r="B82" s="2" t="s">
        <v>261</v>
      </c>
      <c r="C82" s="2" t="s">
        <v>262</v>
      </c>
      <c r="D82" s="2" t="s">
        <v>263</v>
      </c>
    </row>
    <row r="83">
      <c r="A83" s="2" t="s">
        <v>264</v>
      </c>
      <c r="B83" s="88">
        <v>250.0</v>
      </c>
      <c r="C83" s="88">
        <v>250.0</v>
      </c>
      <c r="D83" s="88">
        <v>250.0</v>
      </c>
    </row>
    <row r="84">
      <c r="A84" s="2" t="s">
        <v>105</v>
      </c>
      <c r="B84" s="88">
        <v>101.0</v>
      </c>
      <c r="C84" s="88">
        <v>500.0</v>
      </c>
      <c r="D84" s="88">
        <v>400.0</v>
      </c>
    </row>
    <row r="85" ht="18.0" customHeight="1">
      <c r="A85" s="2" t="s">
        <v>267</v>
      </c>
      <c r="B85" s="88">
        <v>501.0</v>
      </c>
      <c r="C85" s="88">
        <v>5000.0</v>
      </c>
      <c r="D85" s="88">
        <v>4000.0</v>
      </c>
    </row>
    <row r="86">
      <c r="A86" s="2" t="s">
        <v>186</v>
      </c>
      <c r="B86" s="88">
        <v>501.0</v>
      </c>
      <c r="C86" s="88">
        <v>5000.0</v>
      </c>
      <c r="D86" s="88">
        <v>4312.0</v>
      </c>
    </row>
    <row r="87">
      <c r="A87" s="2" t="s">
        <v>189</v>
      </c>
      <c r="B87" s="88">
        <v>25000.0</v>
      </c>
      <c r="C87" s="88">
        <v>30000.0</v>
      </c>
      <c r="D87" s="88">
        <v>19000.0</v>
      </c>
      <c r="E87" s="9" t="s">
        <v>268</v>
      </c>
      <c r="F87" s="9" t="s">
        <v>269</v>
      </c>
    </row>
    <row r="88">
      <c r="A88" s="2" t="s">
        <v>270</v>
      </c>
      <c r="B88" s="88"/>
      <c r="C88" s="88"/>
      <c r="D88" s="88">
        <v>2180.0</v>
      </c>
    </row>
    <row r="89">
      <c r="A89" s="2" t="s">
        <v>271</v>
      </c>
      <c r="B89" s="88"/>
      <c r="C89" s="88"/>
      <c r="D89" s="88">
        <v>14790.0</v>
      </c>
    </row>
    <row r="90">
      <c r="A90" s="92"/>
      <c r="B90" s="88"/>
      <c r="C90" s="88"/>
      <c r="D90" s="88"/>
    </row>
    <row r="91">
      <c r="A91" s="92"/>
      <c r="B91" s="88"/>
      <c r="C91" s="88"/>
      <c r="D91" s="88"/>
    </row>
    <row r="92">
      <c r="A92" s="92" t="s">
        <v>209</v>
      </c>
      <c r="B92" s="88">
        <v>50.0</v>
      </c>
      <c r="C92" s="88">
        <v>100.0</v>
      </c>
      <c r="D92" s="88">
        <v>100.0</v>
      </c>
    </row>
    <row r="93">
      <c r="A93" s="92" t="s">
        <v>216</v>
      </c>
      <c r="B93" s="88">
        <v>50.0</v>
      </c>
      <c r="C93" s="88">
        <v>100.0</v>
      </c>
      <c r="D93" s="88"/>
    </row>
    <row r="94">
      <c r="A94" s="2" t="s">
        <v>229</v>
      </c>
      <c r="B94" s="88">
        <v>50.0</v>
      </c>
      <c r="C94" s="88">
        <v>100.0</v>
      </c>
      <c r="D94" s="88">
        <v>100.0</v>
      </c>
    </row>
    <row r="95">
      <c r="A95" s="92" t="s">
        <v>274</v>
      </c>
      <c r="B95" s="88">
        <v>100.0</v>
      </c>
      <c r="C95" s="88">
        <v>100.0</v>
      </c>
      <c r="D95" s="88">
        <v>100.0</v>
      </c>
    </row>
    <row r="96">
      <c r="A96" s="93" t="s">
        <v>275</v>
      </c>
      <c r="B96" s="95" t="str">
        <f t="shared" ref="B96:D96" si="1">SUM(B83:B98)</f>
        <v>#REF!</v>
      </c>
      <c r="C96" s="95" t="str">
        <f t="shared" si="1"/>
        <v>#REF!</v>
      </c>
      <c r="D96" s="95" t="str">
        <f t="shared" si="1"/>
        <v>#REF!</v>
      </c>
      <c r="F96" t="str">
        <f>44000+2500+250+276-D96</f>
        <v>#REF!</v>
      </c>
    </row>
    <row r="97">
      <c r="A97" s="92"/>
      <c r="B97" s="88"/>
      <c r="C97" s="88"/>
      <c r="D97" s="88"/>
    </row>
    <row r="98">
      <c r="A98" s="92"/>
      <c r="B98" s="88"/>
      <c r="C98" s="88"/>
      <c r="D98" s="88"/>
    </row>
    <row r="102">
      <c r="A102" s="37" t="s">
        <v>293</v>
      </c>
      <c r="B102" s="37" t="s">
        <v>131</v>
      </c>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row>
    <row r="103">
      <c r="A103" s="37" t="s">
        <v>299</v>
      </c>
      <c r="B103" s="37" t="s">
        <v>134</v>
      </c>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row>
    <row r="104">
      <c r="A104" s="9" t="s">
        <v>304</v>
      </c>
    </row>
    <row r="105">
      <c r="A105" s="9" t="s">
        <v>305</v>
      </c>
    </row>
    <row r="106">
      <c r="A106" s="9" t="s">
        <v>307</v>
      </c>
      <c r="B106" s="9" t="s">
        <v>131</v>
      </c>
      <c r="C106" s="9" t="s">
        <v>308</v>
      </c>
      <c r="D106" s="9">
        <v>36000.0</v>
      </c>
    </row>
    <row r="107">
      <c r="A107" s="2" t="s">
        <v>312</v>
      </c>
      <c r="B107" s="2" t="s">
        <v>131</v>
      </c>
      <c r="D107" s="9">
        <v>-50.0</v>
      </c>
    </row>
    <row r="108">
      <c r="A108" s="2" t="s">
        <v>313</v>
      </c>
      <c r="B108" s="2" t="s">
        <v>134</v>
      </c>
      <c r="D108" s="9">
        <v>1000.0</v>
      </c>
    </row>
    <row r="109">
      <c r="A109" s="9" t="s">
        <v>317</v>
      </c>
    </row>
    <row r="110">
      <c r="A110" s="9" t="s">
        <v>318</v>
      </c>
      <c r="B110" s="9" t="s">
        <v>283</v>
      </c>
    </row>
    <row r="111">
      <c r="A111" s="9" t="s">
        <v>321</v>
      </c>
      <c r="D111" s="9">
        <v>150.0</v>
      </c>
    </row>
    <row r="112">
      <c r="D112" s="111">
        <f>SUM(D102:D111)</f>
        <v>37100</v>
      </c>
    </row>
    <row r="114">
      <c r="D114">
        <f>47391-D112</f>
        <v>10291</v>
      </c>
    </row>
  </sheetData>
  <hyperlinks>
    <hyperlink r:id="rId1" ref="A2"/>
    <hyperlink r:id="rId2" ref="B13"/>
    <hyperlink r:id="rId3" ref="A14"/>
    <hyperlink r:id="rId4" ref="A16"/>
    <hyperlink r:id="rId5" ref="A17"/>
    <hyperlink r:id="rId6" ref="A19"/>
    <hyperlink r:id="rId7" ref="A21"/>
    <hyperlink r:id="rId8" ref="B29"/>
    <hyperlink r:id="rId9" ref="I63"/>
    <hyperlink r:id="rId10" ref="I64"/>
    <hyperlink r:id="rId11" ref="I65"/>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29.0"/>
    <col customWidth="1" min="5" max="5" width="19.63"/>
    <col customWidth="1" min="9" max="9" width="3.63"/>
  </cols>
  <sheetData>
    <row r="1">
      <c r="A1" s="2" t="s">
        <v>3</v>
      </c>
      <c r="B1" s="2" t="s">
        <v>5</v>
      </c>
      <c r="C1" s="2" t="s">
        <v>8</v>
      </c>
      <c r="D1" s="2" t="s">
        <v>10</v>
      </c>
      <c r="E1" s="2"/>
      <c r="F1" s="2" t="s">
        <v>12</v>
      </c>
      <c r="G1" s="2" t="s">
        <v>13</v>
      </c>
    </row>
    <row r="2">
      <c r="A2" s="9">
        <v>1.0</v>
      </c>
      <c r="B2" s="9" t="s">
        <v>16</v>
      </c>
      <c r="C2" s="9" t="s">
        <v>17</v>
      </c>
      <c r="E2" s="9"/>
      <c r="F2" s="9" t="s">
        <v>19</v>
      </c>
      <c r="G2" s="9">
        <v>5000.0</v>
      </c>
      <c r="H2" s="9" t="s">
        <v>20</v>
      </c>
      <c r="M2" s="9">
        <v>5000.0</v>
      </c>
      <c r="N2" s="9" t="s">
        <v>21</v>
      </c>
    </row>
    <row r="3">
      <c r="A3" s="1"/>
      <c r="B3" s="1" t="s">
        <v>24</v>
      </c>
      <c r="C3" s="1"/>
      <c r="D3" s="1" t="s">
        <v>27</v>
      </c>
      <c r="E3" s="1"/>
      <c r="F3" s="1"/>
      <c r="G3" s="1"/>
      <c r="H3" s="6"/>
      <c r="I3" s="6"/>
      <c r="J3" s="6"/>
      <c r="K3" s="6"/>
      <c r="L3" s="6"/>
      <c r="M3" s="6"/>
      <c r="N3" s="6"/>
      <c r="O3" s="6"/>
      <c r="P3" s="6"/>
      <c r="Q3" s="6"/>
      <c r="R3" s="6"/>
      <c r="S3" s="6"/>
      <c r="T3" s="6"/>
      <c r="U3" s="6"/>
      <c r="V3" s="6"/>
      <c r="W3" s="6"/>
      <c r="X3" s="6"/>
      <c r="Y3" s="6"/>
      <c r="Z3" s="6"/>
      <c r="AA3" s="6"/>
      <c r="AB3" s="6"/>
    </row>
    <row r="4">
      <c r="A4" s="9">
        <v>2.0</v>
      </c>
      <c r="B4" s="9" t="s">
        <v>35</v>
      </c>
      <c r="D4" s="9" t="s">
        <v>36</v>
      </c>
      <c r="E4" s="9"/>
      <c r="F4" s="9" t="s">
        <v>37</v>
      </c>
      <c r="G4" s="9">
        <v>12800.0</v>
      </c>
      <c r="I4" s="9" t="s">
        <v>38</v>
      </c>
      <c r="L4" s="9" t="s">
        <v>39</v>
      </c>
      <c r="M4" s="9" t="s">
        <v>40</v>
      </c>
      <c r="N4" s="9" t="s">
        <v>21</v>
      </c>
    </row>
    <row r="5">
      <c r="A5" s="1"/>
      <c r="B5" s="1" t="s">
        <v>41</v>
      </c>
      <c r="C5" s="1" t="s">
        <v>17</v>
      </c>
      <c r="D5" s="6"/>
      <c r="E5" s="1"/>
      <c r="F5" s="1" t="s">
        <v>19</v>
      </c>
      <c r="G5" s="6"/>
      <c r="H5" s="6"/>
      <c r="I5" s="6"/>
      <c r="J5" s="6"/>
      <c r="K5" s="6"/>
      <c r="L5" s="6"/>
      <c r="M5" s="6"/>
      <c r="N5" s="6"/>
      <c r="O5" s="6"/>
      <c r="P5" s="6"/>
      <c r="Q5" s="6"/>
      <c r="R5" s="6"/>
      <c r="S5" s="6"/>
      <c r="T5" s="6"/>
      <c r="U5" s="6"/>
      <c r="V5" s="6"/>
      <c r="W5" s="6"/>
      <c r="X5" s="6"/>
      <c r="Y5" s="6"/>
      <c r="Z5" s="6"/>
      <c r="AA5" s="6"/>
      <c r="AB5" s="6"/>
    </row>
    <row r="6">
      <c r="A6" s="9">
        <v>3.0</v>
      </c>
      <c r="B6" s="9" t="s">
        <v>43</v>
      </c>
      <c r="C6" s="9" t="s">
        <v>17</v>
      </c>
      <c r="E6" s="9"/>
      <c r="F6" s="9" t="s">
        <v>19</v>
      </c>
      <c r="G6" s="9">
        <v>4012.0</v>
      </c>
      <c r="M6" s="9" t="s">
        <v>45</v>
      </c>
      <c r="N6" s="9" t="s">
        <v>21</v>
      </c>
    </row>
    <row r="7">
      <c r="A7" s="1"/>
      <c r="B7" s="1" t="s">
        <v>48</v>
      </c>
      <c r="C7" s="1"/>
      <c r="D7" s="1">
        <v>2500.0</v>
      </c>
      <c r="E7" s="1"/>
      <c r="F7" s="1" t="s">
        <v>37</v>
      </c>
      <c r="G7" s="6"/>
      <c r="H7" s="6"/>
      <c r="I7" s="6"/>
      <c r="J7" s="6"/>
      <c r="K7" s="6"/>
      <c r="L7" s="6"/>
      <c r="M7" s="6"/>
      <c r="N7" s="6"/>
      <c r="O7" s="6"/>
      <c r="P7" s="6"/>
      <c r="Q7" s="6"/>
      <c r="R7" s="6"/>
      <c r="S7" s="6"/>
      <c r="T7" s="6"/>
      <c r="U7" s="6"/>
      <c r="V7" s="6"/>
      <c r="W7" s="6"/>
      <c r="X7" s="6"/>
      <c r="Y7" s="6"/>
      <c r="Z7" s="6"/>
      <c r="AA7" s="6"/>
      <c r="AB7" s="6"/>
    </row>
    <row r="8">
      <c r="A8" s="1"/>
      <c r="B8" s="1" t="s">
        <v>53</v>
      </c>
      <c r="C8" s="1"/>
      <c r="D8" s="1">
        <v>2500.0</v>
      </c>
      <c r="E8" s="1"/>
      <c r="F8" s="1" t="s">
        <v>37</v>
      </c>
      <c r="G8" s="6"/>
      <c r="H8" s="6"/>
      <c r="I8" s="6"/>
      <c r="J8" s="6"/>
      <c r="K8" s="6"/>
      <c r="L8" s="6"/>
      <c r="M8" s="6"/>
      <c r="N8" s="6"/>
      <c r="O8" s="6"/>
      <c r="P8" s="6"/>
      <c r="Q8" s="6"/>
      <c r="R8" s="6"/>
      <c r="S8" s="6"/>
      <c r="T8" s="6"/>
      <c r="U8" s="6"/>
      <c r="V8" s="6"/>
      <c r="W8" s="6"/>
      <c r="X8" s="6"/>
      <c r="Y8" s="6"/>
      <c r="Z8" s="6"/>
      <c r="AA8" s="6"/>
      <c r="AB8" s="6"/>
    </row>
    <row r="9">
      <c r="A9" s="1"/>
      <c r="B9" s="1" t="s">
        <v>56</v>
      </c>
      <c r="C9" s="1" t="s">
        <v>17</v>
      </c>
      <c r="D9" s="6"/>
      <c r="E9" s="1"/>
      <c r="F9" s="1" t="s">
        <v>19</v>
      </c>
      <c r="G9" s="6"/>
      <c r="H9" s="1" t="s">
        <v>58</v>
      </c>
      <c r="I9" s="6"/>
      <c r="J9" s="6"/>
      <c r="K9" s="6"/>
      <c r="L9" s="6"/>
      <c r="M9" s="6"/>
      <c r="N9" s="6"/>
      <c r="O9" s="6"/>
      <c r="P9" s="6"/>
      <c r="Q9" s="6"/>
      <c r="R9" s="6"/>
      <c r="S9" s="6"/>
      <c r="T9" s="6"/>
      <c r="U9" s="6"/>
      <c r="V9" s="6"/>
      <c r="W9" s="6"/>
      <c r="X9" s="6"/>
      <c r="Y9" s="6"/>
      <c r="Z9" s="6"/>
      <c r="AA9" s="6"/>
      <c r="AB9" s="6"/>
    </row>
    <row r="10">
      <c r="A10" s="1"/>
      <c r="B10" s="1" t="s">
        <v>65</v>
      </c>
      <c r="C10" s="1" t="s">
        <v>67</v>
      </c>
      <c r="D10" s="6"/>
      <c r="E10" s="1"/>
      <c r="F10" s="1" t="s">
        <v>19</v>
      </c>
      <c r="G10" s="6"/>
      <c r="H10" s="6"/>
      <c r="I10" s="6"/>
      <c r="J10" s="6"/>
      <c r="K10" s="6"/>
      <c r="L10" s="6"/>
      <c r="M10" s="6"/>
      <c r="N10" s="6"/>
      <c r="O10" s="6"/>
      <c r="P10" s="6"/>
      <c r="Q10" s="6"/>
      <c r="R10" s="6"/>
      <c r="S10" s="6"/>
      <c r="T10" s="6"/>
      <c r="U10" s="6"/>
      <c r="V10" s="6"/>
      <c r="W10" s="6"/>
      <c r="X10" s="6"/>
      <c r="Y10" s="6"/>
      <c r="Z10" s="6"/>
      <c r="AA10" s="6"/>
      <c r="AB10" s="6"/>
    </row>
    <row r="11">
      <c r="A11" s="1"/>
      <c r="B11" s="1" t="s">
        <v>75</v>
      </c>
      <c r="C11" s="6"/>
      <c r="D11" s="6"/>
      <c r="E11" s="1" t="s">
        <v>77</v>
      </c>
      <c r="F11" s="1" t="s">
        <v>37</v>
      </c>
      <c r="G11" s="1"/>
      <c r="H11" s="6"/>
      <c r="I11" s="6"/>
      <c r="J11" s="6"/>
      <c r="K11" s="6"/>
      <c r="L11" s="1" t="s">
        <v>78</v>
      </c>
      <c r="M11" s="1" t="s">
        <v>79</v>
      </c>
      <c r="N11" s="1" t="s">
        <v>21</v>
      </c>
      <c r="O11" s="6"/>
      <c r="P11" s="6"/>
      <c r="Q11" s="6"/>
      <c r="R11" s="6"/>
      <c r="S11" s="6"/>
      <c r="T11" s="6"/>
      <c r="U11" s="6"/>
      <c r="V11" s="6"/>
      <c r="W11" s="6"/>
      <c r="X11" s="6"/>
      <c r="Y11" s="6"/>
      <c r="Z11" s="6"/>
      <c r="AA11" s="6"/>
      <c r="AB11" s="6"/>
    </row>
    <row r="12">
      <c r="A12" s="1"/>
      <c r="B12" s="1" t="s">
        <v>85</v>
      </c>
      <c r="C12" s="6"/>
      <c r="D12" s="6"/>
      <c r="E12" s="1" t="s">
        <v>77</v>
      </c>
      <c r="F12" s="1" t="s">
        <v>37</v>
      </c>
      <c r="G12" s="6"/>
      <c r="H12" s="6"/>
      <c r="I12" s="6"/>
      <c r="J12" s="6"/>
      <c r="K12" s="6"/>
      <c r="L12" s="6"/>
      <c r="M12" s="6"/>
      <c r="N12" s="6"/>
      <c r="O12" s="6"/>
      <c r="P12" s="6"/>
      <c r="Q12" s="6"/>
      <c r="R12" s="6"/>
      <c r="S12" s="6"/>
      <c r="T12" s="6"/>
      <c r="U12" s="6"/>
      <c r="V12" s="6"/>
      <c r="W12" s="6"/>
      <c r="X12" s="6"/>
      <c r="Y12" s="6"/>
      <c r="Z12" s="6"/>
      <c r="AA12" s="6"/>
      <c r="AB12" s="6"/>
    </row>
    <row r="13">
      <c r="A13" s="24">
        <v>5.0</v>
      </c>
      <c r="B13" s="24" t="s">
        <v>96</v>
      </c>
      <c r="G13" s="9">
        <f>7600*F13</f>
        <v>0</v>
      </c>
    </row>
    <row r="14">
      <c r="A14" s="24">
        <v>6.0</v>
      </c>
      <c r="B14" s="24" t="s">
        <v>105</v>
      </c>
      <c r="G14" s="9">
        <f>500*F14</f>
        <v>0</v>
      </c>
    </row>
    <row r="15">
      <c r="A15" s="24">
        <v>7.0</v>
      </c>
      <c r="B15" s="24" t="s">
        <v>116</v>
      </c>
      <c r="G15" s="9">
        <v>5.0</v>
      </c>
    </row>
    <row r="16">
      <c r="A16" s="24">
        <v>8.0</v>
      </c>
      <c r="B16" s="24" t="s">
        <v>117</v>
      </c>
      <c r="G16" s="9">
        <f t="shared" ref="G16:G17" si="1">500*F16</f>
        <v>0</v>
      </c>
    </row>
    <row r="17">
      <c r="A17" s="24">
        <v>9.0</v>
      </c>
      <c r="B17" s="24" t="s">
        <v>124</v>
      </c>
      <c r="G17" s="9">
        <f t="shared" si="1"/>
        <v>0</v>
      </c>
    </row>
    <row r="18">
      <c r="A18" s="24">
        <v>10.0</v>
      </c>
      <c r="B18" s="24" t="s">
        <v>125</v>
      </c>
      <c r="C18" s="9" t="s">
        <v>126</v>
      </c>
      <c r="D18" s="9" t="s">
        <v>127</v>
      </c>
      <c r="E18" s="9">
        <v>50.0</v>
      </c>
      <c r="F18" s="9">
        <v>0.0</v>
      </c>
      <c r="G18" s="9">
        <f t="shared" ref="G18:G22" si="2">E18*F18</f>
        <v>0</v>
      </c>
    </row>
    <row r="19">
      <c r="A19" s="24"/>
      <c r="B19" s="24" t="s">
        <v>130</v>
      </c>
      <c r="C19" s="9" t="s">
        <v>131</v>
      </c>
      <c r="D19" s="9" t="s">
        <v>132</v>
      </c>
      <c r="E19" s="9">
        <v>500.0</v>
      </c>
      <c r="F19" s="9">
        <v>0.0</v>
      </c>
      <c r="G19" s="9">
        <f t="shared" si="2"/>
        <v>0</v>
      </c>
    </row>
    <row r="20">
      <c r="A20" s="24"/>
      <c r="B20" s="24" t="s">
        <v>133</v>
      </c>
      <c r="C20" s="9" t="s">
        <v>134</v>
      </c>
      <c r="D20" s="9" t="s">
        <v>135</v>
      </c>
      <c r="E20" s="9">
        <v>5000.0</v>
      </c>
      <c r="F20" s="9">
        <v>0.0</v>
      </c>
      <c r="G20" s="9">
        <f t="shared" si="2"/>
        <v>0</v>
      </c>
    </row>
    <row r="21">
      <c r="A21" s="24"/>
      <c r="B21" s="24" t="s">
        <v>137</v>
      </c>
      <c r="C21" s="9" t="s">
        <v>138</v>
      </c>
      <c r="D21" s="9" t="s">
        <v>139</v>
      </c>
      <c r="E21" s="9">
        <v>50000.0</v>
      </c>
      <c r="F21" s="9">
        <v>0.0</v>
      </c>
      <c r="G21" s="9">
        <f t="shared" si="2"/>
        <v>0</v>
      </c>
    </row>
    <row r="22">
      <c r="A22" s="24">
        <v>11.0</v>
      </c>
      <c r="B22" s="24" t="s">
        <v>144</v>
      </c>
      <c r="E22" s="9">
        <v>250.0</v>
      </c>
      <c r="F22" s="9">
        <v>0.0</v>
      </c>
      <c r="G22" s="9">
        <f t="shared" si="2"/>
        <v>0</v>
      </c>
    </row>
    <row r="23">
      <c r="A23" s="24">
        <v>12.0</v>
      </c>
      <c r="B23" s="24" t="s">
        <v>145</v>
      </c>
      <c r="F23" s="9">
        <v>0.0</v>
      </c>
      <c r="G23" s="9">
        <f>500*F23</f>
        <v>0</v>
      </c>
    </row>
    <row r="24">
      <c r="A24" s="24">
        <v>13.0</v>
      </c>
      <c r="B24" s="24" t="s">
        <v>146</v>
      </c>
    </row>
    <row r="25">
      <c r="G25" s="9">
        <v>40688.0</v>
      </c>
    </row>
    <row r="26">
      <c r="G26">
        <f>G25-SUM(G2:G23)</f>
        <v>18871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88"/>
    <col customWidth="1" min="3" max="3" width="12.88"/>
    <col customWidth="1" min="4" max="4" width="17.25"/>
    <col customWidth="1" min="5" max="5" width="21.75"/>
    <col customWidth="1" min="6" max="6" width="7.63"/>
  </cols>
  <sheetData>
    <row r="1">
      <c r="A1" s="67" t="s">
        <v>0</v>
      </c>
      <c r="B1" s="67" t="s">
        <v>4</v>
      </c>
      <c r="C1" s="71" t="s">
        <v>6</v>
      </c>
      <c r="D1" s="67" t="s">
        <v>8</v>
      </c>
      <c r="E1" s="72" t="s">
        <v>7</v>
      </c>
      <c r="F1" s="67" t="s">
        <v>9</v>
      </c>
      <c r="G1" s="67" t="s">
        <v>197</v>
      </c>
      <c r="H1" s="67" t="s">
        <v>198</v>
      </c>
    </row>
    <row r="2" hidden="1">
      <c r="A2" s="9" t="s">
        <v>199</v>
      </c>
      <c r="B2" s="9" t="s">
        <v>58</v>
      </c>
      <c r="C2" s="75">
        <v>6375.0</v>
      </c>
      <c r="D2" s="9" t="s">
        <v>134</v>
      </c>
      <c r="E2" s="77" t="s">
        <v>49</v>
      </c>
    </row>
    <row r="3" hidden="1">
      <c r="C3" s="79"/>
      <c r="E3" s="80"/>
    </row>
    <row r="4" hidden="1">
      <c r="A4" s="9" t="s">
        <v>204</v>
      </c>
      <c r="B4" s="9" t="s">
        <v>181</v>
      </c>
      <c r="C4" s="75">
        <v>2117.0</v>
      </c>
      <c r="D4" s="9" t="s">
        <v>17</v>
      </c>
      <c r="E4" s="77" t="s">
        <v>202</v>
      </c>
      <c r="H4" s="9" t="s">
        <v>206</v>
      </c>
    </row>
    <row r="5" hidden="1">
      <c r="A5" s="9" t="s">
        <v>208</v>
      </c>
      <c r="B5" s="9" t="s">
        <v>47</v>
      </c>
      <c r="C5" s="79"/>
      <c r="D5" s="9" t="s">
        <v>210</v>
      </c>
      <c r="E5" s="77" t="s">
        <v>202</v>
      </c>
      <c r="H5" s="9" t="s">
        <v>211</v>
      </c>
    </row>
    <row r="6" hidden="1">
      <c r="A6" s="9" t="s">
        <v>213</v>
      </c>
      <c r="C6" s="75" t="s">
        <v>214</v>
      </c>
      <c r="E6" s="77" t="s">
        <v>215</v>
      </c>
      <c r="H6" s="9" t="s">
        <v>217</v>
      </c>
    </row>
    <row r="7" hidden="1">
      <c r="C7" s="79"/>
      <c r="E7" s="80"/>
    </row>
    <row r="8" hidden="1">
      <c r="A8" s="9" t="s">
        <v>219</v>
      </c>
      <c r="B8" s="9" t="s">
        <v>220</v>
      </c>
      <c r="C8" s="75">
        <v>3140.0</v>
      </c>
      <c r="D8" s="9" t="s">
        <v>134</v>
      </c>
      <c r="E8" s="77" t="s">
        <v>202</v>
      </c>
    </row>
    <row r="9" hidden="1">
      <c r="A9" s="9" t="s">
        <v>221</v>
      </c>
      <c r="B9" s="9" t="s">
        <v>47</v>
      </c>
      <c r="C9" s="75">
        <v>3996.0</v>
      </c>
      <c r="D9" s="9" t="s">
        <v>134</v>
      </c>
      <c r="E9" s="77" t="s">
        <v>49</v>
      </c>
      <c r="H9" s="9" t="s">
        <v>222</v>
      </c>
    </row>
    <row r="10" hidden="1">
      <c r="A10" s="81" t="s">
        <v>223</v>
      </c>
      <c r="B10" s="9" t="s">
        <v>47</v>
      </c>
      <c r="C10" s="75">
        <v>3800.0</v>
      </c>
      <c r="D10" s="9" t="s">
        <v>134</v>
      </c>
      <c r="E10" s="77" t="s">
        <v>49</v>
      </c>
      <c r="H10" s="9" t="s">
        <v>224</v>
      </c>
    </row>
    <row r="11" hidden="1">
      <c r="C11" s="79"/>
      <c r="E11" s="80"/>
    </row>
    <row r="12" hidden="1">
      <c r="A12" s="9" t="s">
        <v>225</v>
      </c>
      <c r="C12" s="75">
        <v>3800.0</v>
      </c>
      <c r="E12" s="80"/>
    </row>
    <row r="13" hidden="1">
      <c r="C13" s="79"/>
      <c r="E13" s="80"/>
    </row>
    <row r="14" hidden="1">
      <c r="C14" s="79"/>
      <c r="E14" s="80"/>
    </row>
    <row r="15" hidden="1">
      <c r="A15" s="9" t="s">
        <v>227</v>
      </c>
      <c r="B15" s="9" t="s">
        <v>26</v>
      </c>
      <c r="C15" s="79"/>
      <c r="E15" s="80"/>
      <c r="H15" s="9" t="s">
        <v>228</v>
      </c>
    </row>
    <row r="16" hidden="1">
      <c r="C16" s="75">
        <v>5000.0</v>
      </c>
      <c r="D16" s="79">
        <f>43870-C17</f>
        <v>15642</v>
      </c>
      <c r="E16" s="80"/>
    </row>
    <row r="17" hidden="1">
      <c r="C17" s="79">
        <f>sum(C2:C16)</f>
        <v>28228</v>
      </c>
      <c r="E17" s="80"/>
    </row>
    <row r="18">
      <c r="A18" s="89" t="s">
        <v>235</v>
      </c>
      <c r="C18" s="79"/>
      <c r="E18" s="80"/>
    </row>
    <row r="19">
      <c r="C19" s="79"/>
      <c r="E19" s="80"/>
    </row>
    <row r="20">
      <c r="A20" s="2" t="s">
        <v>238</v>
      </c>
      <c r="C20" s="79"/>
      <c r="E20" s="80"/>
    </row>
    <row r="21">
      <c r="A21" s="9" t="s">
        <v>240</v>
      </c>
      <c r="B21" s="9" t="s">
        <v>26</v>
      </c>
      <c r="C21" s="79"/>
      <c r="D21" s="16" t="s">
        <v>241</v>
      </c>
      <c r="E21" s="91" t="s">
        <v>244</v>
      </c>
      <c r="H21" s="9" t="s">
        <v>256</v>
      </c>
    </row>
    <row r="22">
      <c r="A22" s="9" t="s">
        <v>258</v>
      </c>
      <c r="B22" s="9" t="s">
        <v>26</v>
      </c>
      <c r="C22" s="79"/>
      <c r="D22" s="9" t="s">
        <v>259</v>
      </c>
      <c r="E22" s="91" t="s">
        <v>260</v>
      </c>
    </row>
    <row r="23">
      <c r="A23" s="81" t="s">
        <v>265</v>
      </c>
      <c r="B23" s="9" t="s">
        <v>26</v>
      </c>
      <c r="C23" s="79"/>
      <c r="D23" s="9" t="s">
        <v>259</v>
      </c>
      <c r="E23" s="91" t="s">
        <v>266</v>
      </c>
    </row>
    <row r="24">
      <c r="A24" s="9" t="s">
        <v>272</v>
      </c>
      <c r="B24" s="9" t="s">
        <v>26</v>
      </c>
      <c r="C24" s="79"/>
      <c r="D24" s="9" t="s">
        <v>259</v>
      </c>
      <c r="E24" s="94" t="s">
        <v>273</v>
      </c>
    </row>
    <row r="25">
      <c r="C25" s="79"/>
      <c r="E25" s="80"/>
    </row>
    <row r="26">
      <c r="A26" s="2" t="s">
        <v>276</v>
      </c>
      <c r="C26" s="79"/>
      <c r="E26" s="80"/>
    </row>
    <row r="27">
      <c r="A27" s="16" t="s">
        <v>277</v>
      </c>
      <c r="B27" s="9" t="s">
        <v>47</v>
      </c>
      <c r="C27" s="75">
        <v>22950.0</v>
      </c>
      <c r="E27" s="77" t="s">
        <v>278</v>
      </c>
      <c r="F27" s="9" t="s">
        <v>26</v>
      </c>
      <c r="G27" s="9">
        <v>17500.0</v>
      </c>
    </row>
    <row r="28">
      <c r="A28" s="16" t="s">
        <v>279</v>
      </c>
      <c r="B28" s="9" t="s">
        <v>47</v>
      </c>
      <c r="C28" s="75">
        <v>22950.0</v>
      </c>
      <c r="E28" s="77" t="s">
        <v>278</v>
      </c>
      <c r="F28" s="9" t="s">
        <v>26</v>
      </c>
      <c r="G28" s="9">
        <v>0.0</v>
      </c>
    </row>
    <row r="29">
      <c r="C29" s="79"/>
      <c r="E29" s="80"/>
    </row>
    <row r="30">
      <c r="A30" s="2" t="s">
        <v>281</v>
      </c>
      <c r="C30" s="79"/>
      <c r="E30" s="80"/>
    </row>
    <row r="31">
      <c r="A31" s="9" t="s">
        <v>282</v>
      </c>
      <c r="B31" s="9" t="s">
        <v>26</v>
      </c>
      <c r="C31" s="75">
        <v>41500.0</v>
      </c>
      <c r="D31" s="9" t="s">
        <v>283</v>
      </c>
      <c r="E31" s="94" t="s">
        <v>284</v>
      </c>
      <c r="F31" s="9" t="s">
        <v>26</v>
      </c>
      <c r="G31" s="9">
        <v>41500.0</v>
      </c>
    </row>
    <row r="32">
      <c r="C32" s="79"/>
      <c r="E32" s="80"/>
    </row>
    <row r="33">
      <c r="C33" s="79"/>
      <c r="E33" s="80"/>
    </row>
    <row r="34">
      <c r="B34" s="104" t="s">
        <v>297</v>
      </c>
      <c r="C34" s="105">
        <v>71672.0</v>
      </c>
      <c r="E34" s="80"/>
    </row>
    <row r="35">
      <c r="B35" s="107" t="s">
        <v>300</v>
      </c>
      <c r="C35" s="108">
        <f>sum(G20:G32)</f>
        <v>59000</v>
      </c>
      <c r="E35" s="80"/>
    </row>
    <row r="36">
      <c r="B36" s="109" t="s">
        <v>310</v>
      </c>
      <c r="C36" s="110">
        <f>C34-C35</f>
        <v>12672</v>
      </c>
      <c r="E36" s="80"/>
    </row>
    <row r="37">
      <c r="C37" s="79"/>
      <c r="E37" s="80"/>
    </row>
    <row r="38">
      <c r="C38" s="79"/>
      <c r="E38" s="80"/>
    </row>
    <row r="39">
      <c r="C39" s="79"/>
      <c r="E39" s="80"/>
    </row>
    <row r="40">
      <c r="C40" s="79"/>
      <c r="E40" s="80"/>
    </row>
    <row r="41">
      <c r="C41" s="79"/>
      <c r="E41" s="80"/>
    </row>
    <row r="42">
      <c r="C42" s="79"/>
      <c r="E42" s="80"/>
    </row>
    <row r="43">
      <c r="C43" s="79"/>
      <c r="E43" s="80"/>
    </row>
    <row r="44">
      <c r="C44" s="79"/>
      <c r="E44" s="80"/>
    </row>
    <row r="45">
      <c r="C45" s="79"/>
      <c r="E45" s="80"/>
    </row>
    <row r="46">
      <c r="C46" s="79"/>
      <c r="E46" s="80"/>
    </row>
    <row r="47">
      <c r="C47" s="79"/>
      <c r="E47" s="80"/>
    </row>
    <row r="48">
      <c r="C48" s="79"/>
      <c r="E48" s="80"/>
    </row>
    <row r="49">
      <c r="C49" s="79"/>
      <c r="E49" s="80"/>
    </row>
    <row r="50">
      <c r="C50" s="79"/>
      <c r="E50" s="80"/>
    </row>
    <row r="51">
      <c r="C51" s="79"/>
      <c r="E51" s="80"/>
    </row>
    <row r="52">
      <c r="C52" s="79"/>
      <c r="E52" s="80"/>
    </row>
    <row r="53">
      <c r="C53" s="79"/>
      <c r="E53" s="80"/>
    </row>
    <row r="54">
      <c r="C54" s="79"/>
      <c r="E54" s="80"/>
    </row>
    <row r="55">
      <c r="C55" s="79"/>
      <c r="E55" s="80"/>
    </row>
    <row r="56">
      <c r="C56" s="79"/>
      <c r="E56" s="80"/>
    </row>
    <row r="57">
      <c r="C57" s="79"/>
      <c r="E57" s="80"/>
    </row>
    <row r="58">
      <c r="C58" s="79"/>
      <c r="E58" s="80"/>
    </row>
    <row r="59">
      <c r="C59" s="79"/>
      <c r="E59" s="80"/>
    </row>
    <row r="60">
      <c r="C60" s="79"/>
      <c r="E60" s="80"/>
    </row>
    <row r="61">
      <c r="C61" s="79"/>
      <c r="E61" s="80"/>
    </row>
    <row r="62">
      <c r="C62" s="79"/>
      <c r="E62" s="80"/>
    </row>
    <row r="63">
      <c r="C63" s="79"/>
      <c r="E63" s="80"/>
    </row>
    <row r="64">
      <c r="C64" s="79"/>
      <c r="E64" s="80"/>
    </row>
    <row r="65">
      <c r="C65" s="79"/>
      <c r="E65" s="80"/>
    </row>
    <row r="66">
      <c r="C66" s="79"/>
      <c r="E66" s="80"/>
    </row>
    <row r="67">
      <c r="C67" s="79"/>
      <c r="E67" s="80"/>
    </row>
    <row r="68">
      <c r="C68" s="79"/>
      <c r="E68" s="80"/>
    </row>
    <row r="69">
      <c r="C69" s="79"/>
      <c r="E69" s="80"/>
    </row>
    <row r="70">
      <c r="C70" s="79"/>
      <c r="E70" s="80"/>
    </row>
    <row r="71">
      <c r="C71" s="79"/>
      <c r="E71" s="80"/>
    </row>
    <row r="72">
      <c r="C72" s="79"/>
      <c r="E72" s="80"/>
    </row>
    <row r="73">
      <c r="C73" s="79"/>
      <c r="E73" s="80"/>
    </row>
    <row r="74">
      <c r="C74" s="79"/>
      <c r="E74" s="80"/>
    </row>
    <row r="75">
      <c r="C75" s="79"/>
      <c r="E75" s="80"/>
    </row>
    <row r="76">
      <c r="C76" s="79"/>
      <c r="E76" s="80"/>
    </row>
    <row r="77">
      <c r="C77" s="79"/>
      <c r="E77" s="80"/>
    </row>
    <row r="78">
      <c r="C78" s="79"/>
      <c r="E78" s="80"/>
    </row>
    <row r="79">
      <c r="C79" s="79"/>
      <c r="E79" s="80"/>
    </row>
    <row r="80">
      <c r="C80" s="79"/>
      <c r="E80" s="80"/>
    </row>
    <row r="81">
      <c r="C81" s="79"/>
      <c r="E81" s="80"/>
    </row>
    <row r="82">
      <c r="C82" s="79"/>
      <c r="E82" s="80"/>
    </row>
    <row r="83">
      <c r="C83" s="79"/>
      <c r="E83" s="80"/>
    </row>
    <row r="84">
      <c r="C84" s="79"/>
      <c r="E84" s="80"/>
    </row>
    <row r="85">
      <c r="C85" s="79"/>
      <c r="E85" s="80"/>
    </row>
    <row r="86">
      <c r="C86" s="79"/>
      <c r="E86" s="80"/>
    </row>
    <row r="87">
      <c r="C87" s="79"/>
      <c r="E87" s="80"/>
    </row>
    <row r="88">
      <c r="C88" s="79"/>
      <c r="E88" s="80"/>
    </row>
    <row r="89">
      <c r="C89" s="79"/>
      <c r="E89" s="80"/>
    </row>
    <row r="90">
      <c r="C90" s="79"/>
      <c r="E90" s="80"/>
    </row>
    <row r="91">
      <c r="C91" s="79"/>
      <c r="E91" s="80"/>
    </row>
    <row r="92">
      <c r="C92" s="79"/>
      <c r="E92" s="80"/>
    </row>
    <row r="93">
      <c r="C93" s="79"/>
      <c r="E93" s="80"/>
    </row>
    <row r="94">
      <c r="C94" s="79"/>
      <c r="E94" s="80"/>
    </row>
    <row r="95">
      <c r="C95" s="79"/>
      <c r="E95" s="80"/>
    </row>
    <row r="96">
      <c r="C96" s="79"/>
      <c r="E96" s="80"/>
    </row>
    <row r="97">
      <c r="C97" s="79"/>
      <c r="E97" s="80"/>
    </row>
    <row r="98">
      <c r="C98" s="79"/>
      <c r="E98" s="80"/>
    </row>
    <row r="99">
      <c r="C99" s="79"/>
      <c r="E99" s="80"/>
    </row>
    <row r="100">
      <c r="C100" s="79"/>
      <c r="E100" s="80"/>
    </row>
    <row r="101">
      <c r="C101" s="79"/>
      <c r="E101" s="80"/>
    </row>
    <row r="102">
      <c r="C102" s="79"/>
      <c r="E102" s="80"/>
    </row>
    <row r="103">
      <c r="C103" s="79"/>
      <c r="E103" s="80"/>
    </row>
    <row r="104">
      <c r="C104" s="79"/>
      <c r="E104" s="80"/>
    </row>
    <row r="105">
      <c r="C105" s="79"/>
      <c r="E105" s="80"/>
    </row>
    <row r="106">
      <c r="C106" s="79"/>
      <c r="E106" s="80"/>
    </row>
    <row r="107">
      <c r="C107" s="79"/>
      <c r="E107" s="80"/>
    </row>
    <row r="108">
      <c r="C108" s="79"/>
      <c r="E108" s="80"/>
    </row>
    <row r="109">
      <c r="C109" s="79"/>
      <c r="E109" s="80"/>
    </row>
    <row r="110">
      <c r="C110" s="79"/>
      <c r="E110" s="80"/>
    </row>
    <row r="111">
      <c r="C111" s="79"/>
      <c r="E111" s="80"/>
    </row>
    <row r="112">
      <c r="C112" s="79"/>
      <c r="E112" s="80"/>
    </row>
    <row r="113">
      <c r="C113" s="79"/>
      <c r="E113" s="80"/>
    </row>
    <row r="114">
      <c r="C114" s="79"/>
      <c r="E114" s="80"/>
    </row>
    <row r="115">
      <c r="C115" s="79"/>
      <c r="E115" s="80"/>
    </row>
    <row r="116">
      <c r="C116" s="79"/>
      <c r="E116" s="80"/>
    </row>
    <row r="117">
      <c r="C117" s="79"/>
      <c r="E117" s="80"/>
    </row>
    <row r="118">
      <c r="C118" s="79"/>
      <c r="E118" s="80"/>
    </row>
    <row r="119">
      <c r="C119" s="79"/>
      <c r="E119" s="80"/>
    </row>
    <row r="120">
      <c r="C120" s="79"/>
      <c r="E120" s="80"/>
    </row>
    <row r="121">
      <c r="C121" s="79"/>
      <c r="E121" s="80"/>
    </row>
    <row r="122">
      <c r="C122" s="79"/>
      <c r="E122" s="80"/>
    </row>
    <row r="123">
      <c r="C123" s="79"/>
      <c r="E123" s="80"/>
    </row>
    <row r="124">
      <c r="C124" s="79"/>
      <c r="E124" s="80"/>
    </row>
    <row r="125">
      <c r="C125" s="79"/>
      <c r="E125" s="80"/>
    </row>
    <row r="126">
      <c r="C126" s="79"/>
      <c r="E126" s="80"/>
    </row>
    <row r="127">
      <c r="C127" s="79"/>
      <c r="E127" s="80"/>
    </row>
    <row r="128">
      <c r="C128" s="79"/>
      <c r="E128" s="80"/>
    </row>
    <row r="129">
      <c r="C129" s="79"/>
      <c r="E129" s="80"/>
    </row>
    <row r="130">
      <c r="C130" s="79"/>
      <c r="E130" s="80"/>
    </row>
    <row r="131">
      <c r="C131" s="79"/>
      <c r="E131" s="80"/>
    </row>
    <row r="132">
      <c r="C132" s="79"/>
      <c r="E132" s="80"/>
    </row>
    <row r="133">
      <c r="C133" s="79"/>
      <c r="E133" s="80"/>
    </row>
    <row r="134">
      <c r="C134" s="79"/>
      <c r="E134" s="80"/>
    </row>
    <row r="135">
      <c r="C135" s="79"/>
      <c r="E135" s="80"/>
    </row>
    <row r="136">
      <c r="C136" s="79"/>
      <c r="E136" s="80"/>
    </row>
    <row r="137">
      <c r="C137" s="79"/>
      <c r="E137" s="80"/>
    </row>
    <row r="138">
      <c r="C138" s="79"/>
      <c r="E138" s="80"/>
    </row>
    <row r="139">
      <c r="C139" s="79"/>
      <c r="E139" s="80"/>
    </row>
    <row r="140">
      <c r="C140" s="79"/>
      <c r="E140" s="80"/>
    </row>
    <row r="141">
      <c r="C141" s="79"/>
      <c r="E141" s="80"/>
    </row>
    <row r="142">
      <c r="C142" s="79"/>
      <c r="E142" s="80"/>
    </row>
    <row r="143">
      <c r="C143" s="79"/>
      <c r="E143" s="80"/>
    </row>
    <row r="144">
      <c r="C144" s="79"/>
      <c r="E144" s="80"/>
    </row>
    <row r="145">
      <c r="C145" s="79"/>
      <c r="E145" s="80"/>
    </row>
    <row r="146">
      <c r="C146" s="79"/>
      <c r="E146" s="80"/>
    </row>
    <row r="147">
      <c r="C147" s="79"/>
      <c r="E147" s="80"/>
    </row>
    <row r="148">
      <c r="C148" s="79"/>
      <c r="E148" s="80"/>
    </row>
    <row r="149">
      <c r="C149" s="79"/>
      <c r="E149" s="80"/>
    </row>
    <row r="150">
      <c r="C150" s="79"/>
      <c r="E150" s="80"/>
    </row>
    <row r="151">
      <c r="C151" s="79"/>
      <c r="E151" s="80"/>
    </row>
    <row r="152">
      <c r="C152" s="79"/>
      <c r="E152" s="80"/>
    </row>
    <row r="153">
      <c r="C153" s="79"/>
      <c r="E153" s="80"/>
    </row>
    <row r="154">
      <c r="C154" s="79"/>
      <c r="E154" s="80"/>
    </row>
    <row r="155">
      <c r="C155" s="79"/>
      <c r="E155" s="80"/>
    </row>
    <row r="156">
      <c r="C156" s="79"/>
      <c r="E156" s="80"/>
    </row>
    <row r="157">
      <c r="C157" s="79"/>
      <c r="E157" s="80"/>
    </row>
    <row r="158">
      <c r="C158" s="79"/>
      <c r="E158" s="80"/>
    </row>
    <row r="159">
      <c r="C159" s="79"/>
      <c r="E159" s="80"/>
    </row>
    <row r="160">
      <c r="C160" s="79"/>
      <c r="E160" s="80"/>
    </row>
    <row r="161">
      <c r="C161" s="79"/>
      <c r="E161" s="80"/>
    </row>
    <row r="162">
      <c r="C162" s="79"/>
      <c r="E162" s="80"/>
    </row>
    <row r="163">
      <c r="C163" s="79"/>
      <c r="E163" s="80"/>
    </row>
    <row r="164">
      <c r="C164" s="79"/>
      <c r="E164" s="80"/>
    </row>
    <row r="165">
      <c r="C165" s="79"/>
      <c r="E165" s="80"/>
    </row>
    <row r="166">
      <c r="C166" s="79"/>
      <c r="E166" s="80"/>
    </row>
    <row r="167">
      <c r="C167" s="79"/>
      <c r="E167" s="80"/>
    </row>
    <row r="168">
      <c r="C168" s="79"/>
      <c r="E168" s="80"/>
    </row>
    <row r="169">
      <c r="C169" s="79"/>
      <c r="E169" s="80"/>
    </row>
    <row r="170">
      <c r="C170" s="79"/>
      <c r="E170" s="80"/>
    </row>
    <row r="171">
      <c r="C171" s="79"/>
      <c r="E171" s="80"/>
    </row>
    <row r="172">
      <c r="C172" s="79"/>
      <c r="E172" s="80"/>
    </row>
    <row r="173">
      <c r="C173" s="79"/>
      <c r="E173" s="80"/>
    </row>
    <row r="174">
      <c r="C174" s="79"/>
      <c r="E174" s="80"/>
    </row>
    <row r="175">
      <c r="C175" s="79"/>
      <c r="E175" s="80"/>
    </row>
    <row r="176">
      <c r="C176" s="79"/>
      <c r="E176" s="80"/>
    </row>
    <row r="177">
      <c r="C177" s="79"/>
      <c r="E177" s="80"/>
    </row>
    <row r="178">
      <c r="C178" s="79"/>
      <c r="E178" s="80"/>
    </row>
    <row r="179">
      <c r="C179" s="79"/>
      <c r="E179" s="80"/>
    </row>
    <row r="180">
      <c r="C180" s="79"/>
      <c r="E180" s="80"/>
    </row>
    <row r="181">
      <c r="C181" s="79"/>
      <c r="E181" s="80"/>
    </row>
    <row r="182">
      <c r="C182" s="79"/>
      <c r="E182" s="80"/>
    </row>
    <row r="183">
      <c r="C183" s="79"/>
      <c r="E183" s="80"/>
    </row>
    <row r="184">
      <c r="C184" s="79"/>
      <c r="E184" s="80"/>
    </row>
    <row r="185">
      <c r="C185" s="79"/>
      <c r="E185" s="80"/>
    </row>
    <row r="186">
      <c r="C186" s="79"/>
      <c r="E186" s="80"/>
    </row>
    <row r="187">
      <c r="C187" s="79"/>
      <c r="E187" s="80"/>
    </row>
    <row r="188">
      <c r="C188" s="79"/>
      <c r="E188" s="80"/>
    </row>
    <row r="189">
      <c r="C189" s="79"/>
      <c r="E189" s="80"/>
    </row>
    <row r="190">
      <c r="C190" s="79"/>
      <c r="E190" s="80"/>
    </row>
    <row r="191">
      <c r="C191" s="79"/>
      <c r="E191" s="80"/>
    </row>
    <row r="192">
      <c r="C192" s="79"/>
      <c r="E192" s="80"/>
    </row>
    <row r="193">
      <c r="C193" s="79"/>
      <c r="E193" s="80"/>
    </row>
    <row r="194">
      <c r="C194" s="79"/>
      <c r="E194" s="80"/>
    </row>
    <row r="195">
      <c r="C195" s="79"/>
      <c r="E195" s="80"/>
    </row>
    <row r="196">
      <c r="C196" s="79"/>
      <c r="E196" s="80"/>
    </row>
    <row r="197">
      <c r="C197" s="79"/>
      <c r="E197" s="80"/>
    </row>
    <row r="198">
      <c r="C198" s="79"/>
      <c r="E198" s="80"/>
    </row>
    <row r="199">
      <c r="C199" s="79"/>
      <c r="E199" s="80"/>
    </row>
    <row r="200">
      <c r="C200" s="79"/>
      <c r="E200" s="80"/>
    </row>
    <row r="201">
      <c r="C201" s="79"/>
      <c r="E201" s="80"/>
    </row>
    <row r="202">
      <c r="C202" s="79"/>
      <c r="E202" s="80"/>
    </row>
    <row r="203">
      <c r="C203" s="79"/>
      <c r="E203" s="80"/>
    </row>
    <row r="204">
      <c r="C204" s="79"/>
      <c r="E204" s="80"/>
    </row>
    <row r="205">
      <c r="C205" s="79"/>
      <c r="E205" s="80"/>
    </row>
    <row r="206">
      <c r="C206" s="79"/>
      <c r="E206" s="80"/>
    </row>
    <row r="207">
      <c r="C207" s="79"/>
      <c r="E207" s="80"/>
    </row>
    <row r="208">
      <c r="C208" s="79"/>
      <c r="E208" s="80"/>
    </row>
    <row r="209">
      <c r="C209" s="79"/>
      <c r="E209" s="80"/>
    </row>
    <row r="210">
      <c r="C210" s="79"/>
      <c r="E210" s="80"/>
    </row>
    <row r="211">
      <c r="C211" s="79"/>
      <c r="E211" s="80"/>
    </row>
    <row r="212">
      <c r="C212" s="79"/>
      <c r="E212" s="80"/>
    </row>
    <row r="213">
      <c r="C213" s="79"/>
      <c r="E213" s="80"/>
    </row>
    <row r="214">
      <c r="C214" s="79"/>
      <c r="E214" s="80"/>
    </row>
    <row r="215">
      <c r="C215" s="79"/>
      <c r="E215" s="80"/>
    </row>
    <row r="216">
      <c r="C216" s="79"/>
      <c r="E216" s="80"/>
    </row>
    <row r="217">
      <c r="C217" s="79"/>
      <c r="E217" s="80"/>
    </row>
    <row r="218">
      <c r="C218" s="79"/>
      <c r="E218" s="80"/>
    </row>
    <row r="219">
      <c r="C219" s="79"/>
      <c r="E219" s="80"/>
    </row>
    <row r="220">
      <c r="C220" s="79"/>
      <c r="E220" s="80"/>
    </row>
    <row r="221">
      <c r="C221" s="79"/>
      <c r="E221" s="80"/>
    </row>
    <row r="222">
      <c r="C222" s="79"/>
      <c r="E222" s="80"/>
    </row>
    <row r="223">
      <c r="C223" s="79"/>
      <c r="E223" s="80"/>
    </row>
    <row r="224">
      <c r="C224" s="79"/>
      <c r="E224" s="80"/>
    </row>
    <row r="225">
      <c r="C225" s="79"/>
      <c r="E225" s="80"/>
    </row>
    <row r="226">
      <c r="C226" s="79"/>
      <c r="E226" s="80"/>
    </row>
    <row r="227">
      <c r="C227" s="79"/>
      <c r="E227" s="80"/>
    </row>
    <row r="228">
      <c r="C228" s="79"/>
      <c r="E228" s="80"/>
    </row>
    <row r="229">
      <c r="C229" s="79"/>
      <c r="E229" s="80"/>
    </row>
    <row r="230">
      <c r="C230" s="79"/>
      <c r="E230" s="80"/>
    </row>
    <row r="231">
      <c r="C231" s="79"/>
      <c r="E231" s="80"/>
    </row>
    <row r="232">
      <c r="C232" s="79"/>
      <c r="E232" s="80"/>
    </row>
    <row r="233">
      <c r="C233" s="79"/>
      <c r="E233" s="80"/>
    </row>
    <row r="234">
      <c r="C234" s="79"/>
      <c r="E234" s="80"/>
    </row>
    <row r="235">
      <c r="C235" s="79"/>
      <c r="E235" s="80"/>
    </row>
    <row r="236">
      <c r="C236" s="79"/>
      <c r="E236" s="80"/>
    </row>
    <row r="237">
      <c r="C237" s="79"/>
      <c r="E237" s="80"/>
    </row>
    <row r="238">
      <c r="C238" s="79"/>
      <c r="E238" s="80"/>
    </row>
    <row r="239">
      <c r="C239" s="79"/>
      <c r="E239" s="80"/>
    </row>
    <row r="240">
      <c r="C240" s="79"/>
      <c r="E240" s="80"/>
    </row>
    <row r="241">
      <c r="C241" s="79"/>
      <c r="E241" s="80"/>
    </row>
    <row r="242">
      <c r="C242" s="79"/>
      <c r="E242" s="80"/>
    </row>
    <row r="243">
      <c r="C243" s="79"/>
      <c r="E243" s="80"/>
    </row>
    <row r="244">
      <c r="C244" s="79"/>
      <c r="E244" s="80"/>
    </row>
    <row r="245">
      <c r="C245" s="79"/>
      <c r="E245" s="80"/>
    </row>
    <row r="246">
      <c r="C246" s="79"/>
      <c r="E246" s="80"/>
    </row>
    <row r="247">
      <c r="C247" s="79"/>
      <c r="E247" s="80"/>
    </row>
    <row r="248">
      <c r="C248" s="79"/>
      <c r="E248" s="80"/>
    </row>
    <row r="249">
      <c r="C249" s="79"/>
      <c r="E249" s="80"/>
    </row>
    <row r="250">
      <c r="C250" s="79"/>
      <c r="E250" s="80"/>
    </row>
    <row r="251">
      <c r="C251" s="79"/>
      <c r="E251" s="80"/>
    </row>
    <row r="252">
      <c r="C252" s="79"/>
      <c r="E252" s="80"/>
    </row>
    <row r="253">
      <c r="C253" s="79"/>
      <c r="E253" s="80"/>
    </row>
    <row r="254">
      <c r="C254" s="79"/>
      <c r="E254" s="80"/>
    </row>
    <row r="255">
      <c r="C255" s="79"/>
      <c r="E255" s="80"/>
    </row>
    <row r="256">
      <c r="C256" s="79"/>
      <c r="E256" s="80"/>
    </row>
    <row r="257">
      <c r="C257" s="79"/>
      <c r="E257" s="80"/>
    </row>
    <row r="258">
      <c r="C258" s="79"/>
      <c r="E258" s="80"/>
    </row>
    <row r="259">
      <c r="C259" s="79"/>
      <c r="E259" s="80"/>
    </row>
    <row r="260">
      <c r="C260" s="79"/>
      <c r="E260" s="80"/>
    </row>
    <row r="261">
      <c r="C261" s="79"/>
      <c r="E261" s="80"/>
    </row>
    <row r="262">
      <c r="C262" s="79"/>
      <c r="E262" s="80"/>
    </row>
    <row r="263">
      <c r="C263" s="79"/>
      <c r="E263" s="80"/>
    </row>
    <row r="264">
      <c r="C264" s="79"/>
      <c r="E264" s="80"/>
    </row>
    <row r="265">
      <c r="C265" s="79"/>
      <c r="E265" s="80"/>
    </row>
    <row r="266">
      <c r="C266" s="79"/>
      <c r="E266" s="80"/>
    </row>
    <row r="267">
      <c r="C267" s="79"/>
      <c r="E267" s="80"/>
    </row>
    <row r="268">
      <c r="C268" s="79"/>
      <c r="E268" s="80"/>
    </row>
    <row r="269">
      <c r="C269" s="79"/>
      <c r="E269" s="80"/>
    </row>
    <row r="270">
      <c r="C270" s="79"/>
      <c r="E270" s="80"/>
    </row>
    <row r="271">
      <c r="C271" s="79"/>
      <c r="E271" s="80"/>
    </row>
    <row r="272">
      <c r="C272" s="79"/>
      <c r="E272" s="80"/>
    </row>
    <row r="273">
      <c r="C273" s="79"/>
      <c r="E273" s="80"/>
    </row>
    <row r="274">
      <c r="C274" s="79"/>
      <c r="E274" s="80"/>
    </row>
    <row r="275">
      <c r="C275" s="79"/>
      <c r="E275" s="80"/>
    </row>
    <row r="276">
      <c r="C276" s="79"/>
      <c r="E276" s="80"/>
    </row>
    <row r="277">
      <c r="C277" s="79"/>
      <c r="E277" s="80"/>
    </row>
    <row r="278">
      <c r="C278" s="79"/>
      <c r="E278" s="80"/>
    </row>
    <row r="279">
      <c r="C279" s="79"/>
      <c r="E279" s="80"/>
    </row>
    <row r="280">
      <c r="C280" s="79"/>
      <c r="E280" s="80"/>
    </row>
    <row r="281">
      <c r="C281" s="79"/>
      <c r="E281" s="80"/>
    </row>
    <row r="282">
      <c r="C282" s="79"/>
      <c r="E282" s="80"/>
    </row>
    <row r="283">
      <c r="C283" s="79"/>
      <c r="E283" s="80"/>
    </row>
    <row r="284">
      <c r="C284" s="79"/>
      <c r="E284" s="80"/>
    </row>
    <row r="285">
      <c r="C285" s="79"/>
      <c r="E285" s="80"/>
    </row>
    <row r="286">
      <c r="C286" s="79"/>
      <c r="E286" s="80"/>
    </row>
    <row r="287">
      <c r="C287" s="79"/>
      <c r="E287" s="80"/>
    </row>
    <row r="288">
      <c r="C288" s="79"/>
      <c r="E288" s="80"/>
    </row>
    <row r="289">
      <c r="C289" s="79"/>
      <c r="E289" s="80"/>
    </row>
    <row r="290">
      <c r="C290" s="79"/>
      <c r="E290" s="80"/>
    </row>
    <row r="291">
      <c r="C291" s="79"/>
      <c r="E291" s="80"/>
    </row>
    <row r="292">
      <c r="C292" s="79"/>
      <c r="E292" s="80"/>
    </row>
    <row r="293">
      <c r="C293" s="79"/>
      <c r="E293" s="80"/>
    </row>
    <row r="294">
      <c r="C294" s="79"/>
      <c r="E294" s="80"/>
    </row>
    <row r="295">
      <c r="C295" s="79"/>
      <c r="E295" s="80"/>
    </row>
    <row r="296">
      <c r="C296" s="79"/>
      <c r="E296" s="80"/>
    </row>
    <row r="297">
      <c r="C297" s="79"/>
      <c r="E297" s="80"/>
    </row>
    <row r="298">
      <c r="C298" s="79"/>
      <c r="E298" s="80"/>
    </row>
    <row r="299">
      <c r="C299" s="79"/>
      <c r="E299" s="80"/>
    </row>
    <row r="300">
      <c r="C300" s="79"/>
      <c r="E300" s="80"/>
    </row>
    <row r="301">
      <c r="C301" s="79"/>
      <c r="E301" s="80"/>
    </row>
    <row r="302">
      <c r="C302" s="79"/>
      <c r="E302" s="80"/>
    </row>
    <row r="303">
      <c r="C303" s="79"/>
      <c r="E303" s="80"/>
    </row>
    <row r="304">
      <c r="C304" s="79"/>
      <c r="E304" s="80"/>
    </row>
    <row r="305">
      <c r="C305" s="79"/>
      <c r="E305" s="80"/>
    </row>
    <row r="306">
      <c r="C306" s="79"/>
      <c r="E306" s="80"/>
    </row>
    <row r="307">
      <c r="C307" s="79"/>
      <c r="E307" s="80"/>
    </row>
    <row r="308">
      <c r="C308" s="79"/>
      <c r="E308" s="80"/>
    </row>
    <row r="309">
      <c r="C309" s="79"/>
      <c r="E309" s="80"/>
    </row>
    <row r="310">
      <c r="C310" s="79"/>
      <c r="E310" s="80"/>
    </row>
    <row r="311">
      <c r="C311" s="79"/>
      <c r="E311" s="80"/>
    </row>
    <row r="312">
      <c r="C312" s="79"/>
      <c r="E312" s="80"/>
    </row>
    <row r="313">
      <c r="C313" s="79"/>
      <c r="E313" s="80"/>
    </row>
    <row r="314">
      <c r="C314" s="79"/>
      <c r="E314" s="80"/>
    </row>
    <row r="315">
      <c r="C315" s="79"/>
      <c r="E315" s="80"/>
    </row>
    <row r="316">
      <c r="C316" s="79"/>
      <c r="E316" s="80"/>
    </row>
    <row r="317">
      <c r="C317" s="79"/>
      <c r="E317" s="80"/>
    </row>
    <row r="318">
      <c r="C318" s="79"/>
      <c r="E318" s="80"/>
    </row>
    <row r="319">
      <c r="C319" s="79"/>
      <c r="E319" s="80"/>
    </row>
    <row r="320">
      <c r="C320" s="79"/>
      <c r="E320" s="80"/>
    </row>
    <row r="321">
      <c r="C321" s="79"/>
      <c r="E321" s="80"/>
    </row>
    <row r="322">
      <c r="C322" s="79"/>
      <c r="E322" s="80"/>
    </row>
    <row r="323">
      <c r="C323" s="79"/>
      <c r="E323" s="80"/>
    </row>
    <row r="324">
      <c r="C324" s="79"/>
      <c r="E324" s="80"/>
    </row>
    <row r="325">
      <c r="C325" s="79"/>
      <c r="E325" s="80"/>
    </row>
    <row r="326">
      <c r="C326" s="79"/>
      <c r="E326" s="80"/>
    </row>
    <row r="327">
      <c r="C327" s="79"/>
      <c r="E327" s="80"/>
    </row>
    <row r="328">
      <c r="C328" s="79"/>
      <c r="E328" s="80"/>
    </row>
    <row r="329">
      <c r="C329" s="79"/>
      <c r="E329" s="80"/>
    </row>
    <row r="330">
      <c r="C330" s="79"/>
      <c r="E330" s="80"/>
    </row>
    <row r="331">
      <c r="C331" s="79"/>
      <c r="E331" s="80"/>
    </row>
    <row r="332">
      <c r="C332" s="79"/>
      <c r="E332" s="80"/>
    </row>
    <row r="333">
      <c r="C333" s="79"/>
      <c r="E333" s="80"/>
    </row>
    <row r="334">
      <c r="C334" s="79"/>
      <c r="E334" s="80"/>
    </row>
    <row r="335">
      <c r="C335" s="79"/>
      <c r="E335" s="80"/>
    </row>
    <row r="336">
      <c r="C336" s="79"/>
      <c r="E336" s="80"/>
    </row>
    <row r="337">
      <c r="C337" s="79"/>
      <c r="E337" s="80"/>
    </row>
    <row r="338">
      <c r="C338" s="79"/>
      <c r="E338" s="80"/>
    </row>
    <row r="339">
      <c r="C339" s="79"/>
      <c r="E339" s="80"/>
    </row>
    <row r="340">
      <c r="C340" s="79"/>
      <c r="E340" s="80"/>
    </row>
    <row r="341">
      <c r="C341" s="79"/>
      <c r="E341" s="80"/>
    </row>
    <row r="342">
      <c r="C342" s="79"/>
      <c r="E342" s="80"/>
    </row>
    <row r="343">
      <c r="C343" s="79"/>
      <c r="E343" s="80"/>
    </row>
    <row r="344">
      <c r="C344" s="79"/>
      <c r="E344" s="80"/>
    </row>
    <row r="345">
      <c r="C345" s="79"/>
      <c r="E345" s="80"/>
    </row>
    <row r="346">
      <c r="C346" s="79"/>
      <c r="E346" s="80"/>
    </row>
    <row r="347">
      <c r="C347" s="79"/>
      <c r="E347" s="80"/>
    </row>
    <row r="348">
      <c r="C348" s="79"/>
      <c r="E348" s="80"/>
    </row>
    <row r="349">
      <c r="C349" s="79"/>
      <c r="E349" s="80"/>
    </row>
    <row r="350">
      <c r="C350" s="79"/>
      <c r="E350" s="80"/>
    </row>
    <row r="351">
      <c r="C351" s="79"/>
      <c r="E351" s="80"/>
    </row>
    <row r="352">
      <c r="C352" s="79"/>
      <c r="E352" s="80"/>
    </row>
    <row r="353">
      <c r="C353" s="79"/>
      <c r="E353" s="80"/>
    </row>
    <row r="354">
      <c r="C354" s="79"/>
      <c r="E354" s="80"/>
    </row>
    <row r="355">
      <c r="C355" s="79"/>
      <c r="E355" s="80"/>
    </row>
    <row r="356">
      <c r="C356" s="79"/>
      <c r="E356" s="80"/>
    </row>
    <row r="357">
      <c r="C357" s="79"/>
      <c r="E357" s="80"/>
    </row>
    <row r="358">
      <c r="C358" s="79"/>
      <c r="E358" s="80"/>
    </row>
    <row r="359">
      <c r="C359" s="79"/>
      <c r="E359" s="80"/>
    </row>
    <row r="360">
      <c r="C360" s="79"/>
      <c r="E360" s="80"/>
    </row>
    <row r="361">
      <c r="C361" s="79"/>
      <c r="E361" s="80"/>
    </row>
    <row r="362">
      <c r="C362" s="79"/>
      <c r="E362" s="80"/>
    </row>
    <row r="363">
      <c r="C363" s="79"/>
      <c r="E363" s="80"/>
    </row>
    <row r="364">
      <c r="C364" s="79"/>
      <c r="E364" s="80"/>
    </row>
    <row r="365">
      <c r="C365" s="79"/>
      <c r="E365" s="80"/>
    </row>
    <row r="366">
      <c r="C366" s="79"/>
      <c r="E366" s="80"/>
    </row>
    <row r="367">
      <c r="C367" s="79"/>
      <c r="E367" s="80"/>
    </row>
    <row r="368">
      <c r="C368" s="79"/>
      <c r="E368" s="80"/>
    </row>
    <row r="369">
      <c r="C369" s="79"/>
      <c r="E369" s="80"/>
    </row>
    <row r="370">
      <c r="C370" s="79"/>
      <c r="E370" s="80"/>
    </row>
    <row r="371">
      <c r="C371" s="79"/>
      <c r="E371" s="80"/>
    </row>
    <row r="372">
      <c r="C372" s="79"/>
      <c r="E372" s="80"/>
    </row>
    <row r="373">
      <c r="C373" s="79"/>
      <c r="E373" s="80"/>
    </row>
    <row r="374">
      <c r="C374" s="79"/>
      <c r="E374" s="80"/>
    </row>
    <row r="375">
      <c r="C375" s="79"/>
      <c r="E375" s="80"/>
    </row>
    <row r="376">
      <c r="C376" s="79"/>
      <c r="E376" s="80"/>
    </row>
    <row r="377">
      <c r="C377" s="79"/>
      <c r="E377" s="80"/>
    </row>
    <row r="378">
      <c r="C378" s="79"/>
      <c r="E378" s="80"/>
    </row>
    <row r="379">
      <c r="C379" s="79"/>
      <c r="E379" s="80"/>
    </row>
    <row r="380">
      <c r="C380" s="79"/>
      <c r="E380" s="80"/>
    </row>
    <row r="381">
      <c r="C381" s="79"/>
      <c r="E381" s="80"/>
    </row>
    <row r="382">
      <c r="C382" s="79"/>
      <c r="E382" s="80"/>
    </row>
    <row r="383">
      <c r="C383" s="79"/>
      <c r="E383" s="80"/>
    </row>
    <row r="384">
      <c r="C384" s="79"/>
      <c r="E384" s="80"/>
    </row>
    <row r="385">
      <c r="C385" s="79"/>
      <c r="E385" s="80"/>
    </row>
    <row r="386">
      <c r="C386" s="79"/>
      <c r="E386" s="80"/>
    </row>
    <row r="387">
      <c r="C387" s="79"/>
      <c r="E387" s="80"/>
    </row>
    <row r="388">
      <c r="C388" s="79"/>
      <c r="E388" s="80"/>
    </row>
    <row r="389">
      <c r="C389" s="79"/>
      <c r="E389" s="80"/>
    </row>
    <row r="390">
      <c r="C390" s="79"/>
      <c r="E390" s="80"/>
    </row>
    <row r="391">
      <c r="C391" s="79"/>
      <c r="E391" s="80"/>
    </row>
    <row r="392">
      <c r="C392" s="79"/>
      <c r="E392" s="80"/>
    </row>
    <row r="393">
      <c r="C393" s="79"/>
      <c r="E393" s="80"/>
    </row>
    <row r="394">
      <c r="C394" s="79"/>
      <c r="E394" s="80"/>
    </row>
    <row r="395">
      <c r="C395" s="79"/>
      <c r="E395" s="80"/>
    </row>
    <row r="396">
      <c r="C396" s="79"/>
      <c r="E396" s="80"/>
    </row>
    <row r="397">
      <c r="C397" s="79"/>
      <c r="E397" s="80"/>
    </row>
    <row r="398">
      <c r="C398" s="79"/>
      <c r="E398" s="80"/>
    </row>
    <row r="399">
      <c r="C399" s="79"/>
      <c r="E399" s="80"/>
    </row>
    <row r="400">
      <c r="C400" s="79"/>
      <c r="E400" s="80"/>
    </row>
    <row r="401">
      <c r="C401" s="79"/>
      <c r="E401" s="80"/>
    </row>
    <row r="402">
      <c r="C402" s="79"/>
      <c r="E402" s="80"/>
    </row>
    <row r="403">
      <c r="C403" s="79"/>
      <c r="E403" s="80"/>
    </row>
    <row r="404">
      <c r="C404" s="79"/>
      <c r="E404" s="80"/>
    </row>
    <row r="405">
      <c r="C405" s="79"/>
      <c r="E405" s="80"/>
    </row>
    <row r="406">
      <c r="C406" s="79"/>
      <c r="E406" s="80"/>
    </row>
    <row r="407">
      <c r="C407" s="79"/>
      <c r="E407" s="80"/>
    </row>
    <row r="408">
      <c r="C408" s="79"/>
      <c r="E408" s="80"/>
    </row>
    <row r="409">
      <c r="C409" s="79"/>
      <c r="E409" s="80"/>
    </row>
    <row r="410">
      <c r="C410" s="79"/>
      <c r="E410" s="80"/>
    </row>
    <row r="411">
      <c r="C411" s="79"/>
      <c r="E411" s="80"/>
    </row>
    <row r="412">
      <c r="C412" s="79"/>
      <c r="E412" s="80"/>
    </row>
    <row r="413">
      <c r="C413" s="79"/>
      <c r="E413" s="80"/>
    </row>
    <row r="414">
      <c r="C414" s="79"/>
      <c r="E414" s="80"/>
    </row>
    <row r="415">
      <c r="C415" s="79"/>
      <c r="E415" s="80"/>
    </row>
    <row r="416">
      <c r="C416" s="79"/>
      <c r="E416" s="80"/>
    </row>
    <row r="417">
      <c r="C417" s="79"/>
      <c r="E417" s="80"/>
    </row>
    <row r="418">
      <c r="C418" s="79"/>
      <c r="E418" s="80"/>
    </row>
    <row r="419">
      <c r="C419" s="79"/>
      <c r="E419" s="80"/>
    </row>
    <row r="420">
      <c r="C420" s="79"/>
      <c r="E420" s="80"/>
    </row>
    <row r="421">
      <c r="C421" s="79"/>
      <c r="E421" s="80"/>
    </row>
    <row r="422">
      <c r="C422" s="79"/>
      <c r="E422" s="80"/>
    </row>
    <row r="423">
      <c r="C423" s="79"/>
      <c r="E423" s="80"/>
    </row>
    <row r="424">
      <c r="C424" s="79"/>
      <c r="E424" s="80"/>
    </row>
    <row r="425">
      <c r="C425" s="79"/>
      <c r="E425" s="80"/>
    </row>
    <row r="426">
      <c r="C426" s="79"/>
      <c r="E426" s="80"/>
    </row>
    <row r="427">
      <c r="C427" s="79"/>
      <c r="E427" s="80"/>
    </row>
    <row r="428">
      <c r="C428" s="79"/>
      <c r="E428" s="80"/>
    </row>
    <row r="429">
      <c r="C429" s="79"/>
      <c r="E429" s="80"/>
    </row>
    <row r="430">
      <c r="C430" s="79"/>
      <c r="E430" s="80"/>
    </row>
    <row r="431">
      <c r="C431" s="79"/>
      <c r="E431" s="80"/>
    </row>
    <row r="432">
      <c r="C432" s="79"/>
      <c r="E432" s="80"/>
    </row>
    <row r="433">
      <c r="C433" s="79"/>
      <c r="E433" s="80"/>
    </row>
    <row r="434">
      <c r="C434" s="79"/>
      <c r="E434" s="80"/>
    </row>
    <row r="435">
      <c r="C435" s="79"/>
      <c r="E435" s="80"/>
    </row>
    <row r="436">
      <c r="C436" s="79"/>
      <c r="E436" s="80"/>
    </row>
    <row r="437">
      <c r="C437" s="79"/>
      <c r="E437" s="80"/>
    </row>
    <row r="438">
      <c r="C438" s="79"/>
      <c r="E438" s="80"/>
    </row>
    <row r="439">
      <c r="C439" s="79"/>
      <c r="E439" s="80"/>
    </row>
    <row r="440">
      <c r="C440" s="79"/>
      <c r="E440" s="80"/>
    </row>
    <row r="441">
      <c r="C441" s="79"/>
      <c r="E441" s="80"/>
    </row>
    <row r="442">
      <c r="C442" s="79"/>
      <c r="E442" s="80"/>
    </row>
    <row r="443">
      <c r="C443" s="79"/>
      <c r="E443" s="80"/>
    </row>
    <row r="444">
      <c r="C444" s="79"/>
      <c r="E444" s="80"/>
    </row>
    <row r="445">
      <c r="C445" s="79"/>
      <c r="E445" s="80"/>
    </row>
    <row r="446">
      <c r="C446" s="79"/>
      <c r="E446" s="80"/>
    </row>
    <row r="447">
      <c r="C447" s="79"/>
      <c r="E447" s="80"/>
    </row>
    <row r="448">
      <c r="C448" s="79"/>
      <c r="E448" s="80"/>
    </row>
    <row r="449">
      <c r="C449" s="79"/>
      <c r="E449" s="80"/>
    </row>
    <row r="450">
      <c r="C450" s="79"/>
      <c r="E450" s="80"/>
    </row>
    <row r="451">
      <c r="C451" s="79"/>
      <c r="E451" s="80"/>
    </row>
    <row r="452">
      <c r="C452" s="79"/>
      <c r="E452" s="80"/>
    </row>
    <row r="453">
      <c r="C453" s="79"/>
      <c r="E453" s="80"/>
    </row>
    <row r="454">
      <c r="C454" s="79"/>
      <c r="E454" s="80"/>
    </row>
    <row r="455">
      <c r="C455" s="79"/>
      <c r="E455" s="80"/>
    </row>
    <row r="456">
      <c r="C456" s="79"/>
      <c r="E456" s="80"/>
    </row>
    <row r="457">
      <c r="C457" s="79"/>
      <c r="E457" s="80"/>
    </row>
    <row r="458">
      <c r="C458" s="79"/>
      <c r="E458" s="80"/>
    </row>
    <row r="459">
      <c r="C459" s="79"/>
      <c r="E459" s="80"/>
    </row>
    <row r="460">
      <c r="C460" s="79"/>
      <c r="E460" s="80"/>
    </row>
    <row r="461">
      <c r="C461" s="79"/>
      <c r="E461" s="80"/>
    </row>
    <row r="462">
      <c r="C462" s="79"/>
      <c r="E462" s="80"/>
    </row>
    <row r="463">
      <c r="C463" s="79"/>
      <c r="E463" s="80"/>
    </row>
    <row r="464">
      <c r="C464" s="79"/>
      <c r="E464" s="80"/>
    </row>
    <row r="465">
      <c r="C465" s="79"/>
      <c r="E465" s="80"/>
    </row>
    <row r="466">
      <c r="C466" s="79"/>
      <c r="E466" s="80"/>
    </row>
    <row r="467">
      <c r="C467" s="79"/>
      <c r="E467" s="80"/>
    </row>
    <row r="468">
      <c r="C468" s="79"/>
      <c r="E468" s="80"/>
    </row>
    <row r="469">
      <c r="C469" s="79"/>
      <c r="E469" s="80"/>
    </row>
    <row r="470">
      <c r="C470" s="79"/>
      <c r="E470" s="80"/>
    </row>
    <row r="471">
      <c r="C471" s="79"/>
      <c r="E471" s="80"/>
    </row>
    <row r="472">
      <c r="C472" s="79"/>
      <c r="E472" s="80"/>
    </row>
    <row r="473">
      <c r="C473" s="79"/>
      <c r="E473" s="80"/>
    </row>
    <row r="474">
      <c r="C474" s="79"/>
      <c r="E474" s="80"/>
    </row>
    <row r="475">
      <c r="C475" s="79"/>
      <c r="E475" s="80"/>
    </row>
    <row r="476">
      <c r="C476" s="79"/>
      <c r="E476" s="80"/>
    </row>
    <row r="477">
      <c r="C477" s="79"/>
      <c r="E477" s="80"/>
    </row>
    <row r="478">
      <c r="C478" s="79"/>
      <c r="E478" s="80"/>
    </row>
    <row r="479">
      <c r="C479" s="79"/>
      <c r="E479" s="80"/>
    </row>
    <row r="480">
      <c r="C480" s="79"/>
      <c r="E480" s="80"/>
    </row>
    <row r="481">
      <c r="C481" s="79"/>
      <c r="E481" s="80"/>
    </row>
    <row r="482">
      <c r="C482" s="79"/>
      <c r="E482" s="80"/>
    </row>
    <row r="483">
      <c r="C483" s="79"/>
      <c r="E483" s="80"/>
    </row>
    <row r="484">
      <c r="C484" s="79"/>
      <c r="E484" s="80"/>
    </row>
    <row r="485">
      <c r="C485" s="79"/>
      <c r="E485" s="80"/>
    </row>
    <row r="486">
      <c r="C486" s="79"/>
      <c r="E486" s="80"/>
    </row>
    <row r="487">
      <c r="C487" s="79"/>
      <c r="E487" s="80"/>
    </row>
    <row r="488">
      <c r="C488" s="79"/>
      <c r="E488" s="80"/>
    </row>
    <row r="489">
      <c r="C489" s="79"/>
      <c r="E489" s="80"/>
    </row>
    <row r="490">
      <c r="C490" s="79"/>
      <c r="E490" s="80"/>
    </row>
    <row r="491">
      <c r="C491" s="79"/>
      <c r="E491" s="80"/>
    </row>
    <row r="492">
      <c r="C492" s="79"/>
      <c r="E492" s="80"/>
    </row>
    <row r="493">
      <c r="C493" s="79"/>
      <c r="E493" s="80"/>
    </row>
    <row r="494">
      <c r="C494" s="79"/>
      <c r="E494" s="80"/>
    </row>
    <row r="495">
      <c r="C495" s="79"/>
      <c r="E495" s="80"/>
    </row>
    <row r="496">
      <c r="C496" s="79"/>
      <c r="E496" s="80"/>
    </row>
    <row r="497">
      <c r="C497" s="79"/>
      <c r="E497" s="80"/>
    </row>
    <row r="498">
      <c r="C498" s="79"/>
      <c r="E498" s="80"/>
    </row>
    <row r="499">
      <c r="C499" s="79"/>
      <c r="E499" s="80"/>
    </row>
    <row r="500">
      <c r="C500" s="79"/>
      <c r="E500" s="80"/>
    </row>
    <row r="501">
      <c r="C501" s="79"/>
      <c r="E501" s="80"/>
    </row>
    <row r="502">
      <c r="C502" s="79"/>
      <c r="E502" s="80"/>
    </row>
    <row r="503">
      <c r="C503" s="79"/>
      <c r="E503" s="80"/>
    </row>
    <row r="504">
      <c r="C504" s="79"/>
      <c r="E504" s="80"/>
    </row>
    <row r="505">
      <c r="C505" s="79"/>
      <c r="E505" s="80"/>
    </row>
    <row r="506">
      <c r="C506" s="79"/>
      <c r="E506" s="80"/>
    </row>
    <row r="507">
      <c r="C507" s="79"/>
      <c r="E507" s="80"/>
    </row>
    <row r="508">
      <c r="C508" s="79"/>
      <c r="E508" s="80"/>
    </row>
    <row r="509">
      <c r="C509" s="79"/>
      <c r="E509" s="80"/>
    </row>
    <row r="510">
      <c r="C510" s="79"/>
      <c r="E510" s="80"/>
    </row>
    <row r="511">
      <c r="C511" s="79"/>
      <c r="E511" s="80"/>
    </row>
    <row r="512">
      <c r="C512" s="79"/>
      <c r="E512" s="80"/>
    </row>
    <row r="513">
      <c r="C513" s="79"/>
      <c r="E513" s="80"/>
    </row>
    <row r="514">
      <c r="C514" s="79"/>
      <c r="E514" s="80"/>
    </row>
    <row r="515">
      <c r="C515" s="79"/>
      <c r="E515" s="80"/>
    </row>
    <row r="516">
      <c r="C516" s="79"/>
      <c r="E516" s="80"/>
    </row>
    <row r="517">
      <c r="C517" s="79"/>
      <c r="E517" s="80"/>
    </row>
    <row r="518">
      <c r="C518" s="79"/>
      <c r="E518" s="80"/>
    </row>
    <row r="519">
      <c r="C519" s="79"/>
      <c r="E519" s="80"/>
    </row>
    <row r="520">
      <c r="C520" s="79"/>
      <c r="E520" s="80"/>
    </row>
    <row r="521">
      <c r="C521" s="79"/>
      <c r="E521" s="80"/>
    </row>
    <row r="522">
      <c r="C522" s="79"/>
      <c r="E522" s="80"/>
    </row>
    <row r="523">
      <c r="C523" s="79"/>
      <c r="E523" s="80"/>
    </row>
    <row r="524">
      <c r="C524" s="79"/>
      <c r="E524" s="80"/>
    </row>
    <row r="525">
      <c r="C525" s="79"/>
      <c r="E525" s="80"/>
    </row>
    <row r="526">
      <c r="C526" s="79"/>
      <c r="E526" s="80"/>
    </row>
    <row r="527">
      <c r="C527" s="79"/>
      <c r="E527" s="80"/>
    </row>
    <row r="528">
      <c r="C528" s="79"/>
      <c r="E528" s="80"/>
    </row>
    <row r="529">
      <c r="C529" s="79"/>
      <c r="E529" s="80"/>
    </row>
    <row r="530">
      <c r="C530" s="79"/>
      <c r="E530" s="80"/>
    </row>
    <row r="531">
      <c r="C531" s="79"/>
      <c r="E531" s="80"/>
    </row>
    <row r="532">
      <c r="C532" s="79"/>
      <c r="E532" s="80"/>
    </row>
    <row r="533">
      <c r="C533" s="79"/>
      <c r="E533" s="80"/>
    </row>
    <row r="534">
      <c r="C534" s="79"/>
      <c r="E534" s="80"/>
    </row>
    <row r="535">
      <c r="C535" s="79"/>
      <c r="E535" s="80"/>
    </row>
    <row r="536">
      <c r="C536" s="79"/>
      <c r="E536" s="80"/>
    </row>
    <row r="537">
      <c r="C537" s="79"/>
      <c r="E537" s="80"/>
    </row>
    <row r="538">
      <c r="C538" s="79"/>
      <c r="E538" s="80"/>
    </row>
    <row r="539">
      <c r="C539" s="79"/>
      <c r="E539" s="80"/>
    </row>
    <row r="540">
      <c r="C540" s="79"/>
      <c r="E540" s="80"/>
    </row>
    <row r="541">
      <c r="C541" s="79"/>
      <c r="E541" s="80"/>
    </row>
    <row r="542">
      <c r="C542" s="79"/>
      <c r="E542" s="80"/>
    </row>
    <row r="543">
      <c r="C543" s="79"/>
      <c r="E543" s="80"/>
    </row>
    <row r="544">
      <c r="C544" s="79"/>
      <c r="E544" s="80"/>
    </row>
    <row r="545">
      <c r="C545" s="79"/>
      <c r="E545" s="80"/>
    </row>
    <row r="546">
      <c r="C546" s="79"/>
      <c r="E546" s="80"/>
    </row>
    <row r="547">
      <c r="C547" s="79"/>
      <c r="E547" s="80"/>
    </row>
    <row r="548">
      <c r="C548" s="79"/>
      <c r="E548" s="80"/>
    </row>
    <row r="549">
      <c r="C549" s="79"/>
      <c r="E549" s="80"/>
    </row>
    <row r="550">
      <c r="C550" s="79"/>
      <c r="E550" s="80"/>
    </row>
    <row r="551">
      <c r="C551" s="79"/>
      <c r="E551" s="80"/>
    </row>
    <row r="552">
      <c r="C552" s="79"/>
      <c r="E552" s="80"/>
    </row>
    <row r="553">
      <c r="C553" s="79"/>
      <c r="E553" s="80"/>
    </row>
    <row r="554">
      <c r="C554" s="79"/>
      <c r="E554" s="80"/>
    </row>
    <row r="555">
      <c r="C555" s="79"/>
      <c r="E555" s="80"/>
    </row>
    <row r="556">
      <c r="C556" s="79"/>
      <c r="E556" s="80"/>
    </row>
    <row r="557">
      <c r="C557" s="79"/>
      <c r="E557" s="80"/>
    </row>
    <row r="558">
      <c r="C558" s="79"/>
      <c r="E558" s="80"/>
    </row>
    <row r="559">
      <c r="C559" s="79"/>
      <c r="E559" s="80"/>
    </row>
    <row r="560">
      <c r="C560" s="79"/>
      <c r="E560" s="80"/>
    </row>
    <row r="561">
      <c r="C561" s="79"/>
      <c r="E561" s="80"/>
    </row>
    <row r="562">
      <c r="C562" s="79"/>
      <c r="E562" s="80"/>
    </row>
    <row r="563">
      <c r="C563" s="79"/>
      <c r="E563" s="80"/>
    </row>
    <row r="564">
      <c r="C564" s="79"/>
      <c r="E564" s="80"/>
    </row>
    <row r="565">
      <c r="C565" s="79"/>
      <c r="E565" s="80"/>
    </row>
    <row r="566">
      <c r="C566" s="79"/>
      <c r="E566" s="80"/>
    </row>
    <row r="567">
      <c r="C567" s="79"/>
      <c r="E567" s="80"/>
    </row>
    <row r="568">
      <c r="C568" s="79"/>
      <c r="E568" s="80"/>
    </row>
    <row r="569">
      <c r="C569" s="79"/>
      <c r="E569" s="80"/>
    </row>
    <row r="570">
      <c r="C570" s="79"/>
      <c r="E570" s="80"/>
    </row>
    <row r="571">
      <c r="C571" s="79"/>
      <c r="E571" s="80"/>
    </row>
    <row r="572">
      <c r="C572" s="79"/>
      <c r="E572" s="80"/>
    </row>
    <row r="573">
      <c r="C573" s="79"/>
      <c r="E573" s="80"/>
    </row>
    <row r="574">
      <c r="C574" s="79"/>
      <c r="E574" s="80"/>
    </row>
    <row r="575">
      <c r="C575" s="79"/>
      <c r="E575" s="80"/>
    </row>
    <row r="576">
      <c r="C576" s="79"/>
      <c r="E576" s="80"/>
    </row>
    <row r="577">
      <c r="C577" s="79"/>
      <c r="E577" s="80"/>
    </row>
    <row r="578">
      <c r="C578" s="79"/>
      <c r="E578" s="80"/>
    </row>
    <row r="579">
      <c r="C579" s="79"/>
      <c r="E579" s="80"/>
    </row>
    <row r="580">
      <c r="C580" s="79"/>
      <c r="E580" s="80"/>
    </row>
    <row r="581">
      <c r="C581" s="79"/>
      <c r="E581" s="80"/>
    </row>
    <row r="582">
      <c r="C582" s="79"/>
      <c r="E582" s="80"/>
    </row>
    <row r="583">
      <c r="C583" s="79"/>
      <c r="E583" s="80"/>
    </row>
    <row r="584">
      <c r="C584" s="79"/>
      <c r="E584" s="80"/>
    </row>
    <row r="585">
      <c r="C585" s="79"/>
      <c r="E585" s="80"/>
    </row>
    <row r="586">
      <c r="C586" s="79"/>
      <c r="E586" s="80"/>
    </row>
    <row r="587">
      <c r="C587" s="79"/>
      <c r="E587" s="80"/>
    </row>
    <row r="588">
      <c r="C588" s="79"/>
      <c r="E588" s="80"/>
    </row>
    <row r="589">
      <c r="C589" s="79"/>
      <c r="E589" s="80"/>
    </row>
    <row r="590">
      <c r="C590" s="79"/>
      <c r="E590" s="80"/>
    </row>
    <row r="591">
      <c r="C591" s="79"/>
      <c r="E591" s="80"/>
    </row>
    <row r="592">
      <c r="C592" s="79"/>
      <c r="E592" s="80"/>
    </row>
    <row r="593">
      <c r="C593" s="79"/>
      <c r="E593" s="80"/>
    </row>
    <row r="594">
      <c r="C594" s="79"/>
      <c r="E594" s="80"/>
    </row>
    <row r="595">
      <c r="C595" s="79"/>
      <c r="E595" s="80"/>
    </row>
    <row r="596">
      <c r="C596" s="79"/>
      <c r="E596" s="80"/>
    </row>
    <row r="597">
      <c r="C597" s="79"/>
      <c r="E597" s="80"/>
    </row>
    <row r="598">
      <c r="C598" s="79"/>
      <c r="E598" s="80"/>
    </row>
    <row r="599">
      <c r="C599" s="79"/>
      <c r="E599" s="80"/>
    </row>
    <row r="600">
      <c r="C600" s="79"/>
      <c r="E600" s="80"/>
    </row>
    <row r="601">
      <c r="C601" s="79"/>
      <c r="E601" s="80"/>
    </row>
    <row r="602">
      <c r="C602" s="79"/>
      <c r="E602" s="80"/>
    </row>
    <row r="603">
      <c r="C603" s="79"/>
      <c r="E603" s="80"/>
    </row>
    <row r="604">
      <c r="C604" s="79"/>
      <c r="E604" s="80"/>
    </row>
    <row r="605">
      <c r="C605" s="79"/>
      <c r="E605" s="80"/>
    </row>
    <row r="606">
      <c r="C606" s="79"/>
      <c r="E606" s="80"/>
    </row>
    <row r="607">
      <c r="C607" s="79"/>
      <c r="E607" s="80"/>
    </row>
    <row r="608">
      <c r="C608" s="79"/>
      <c r="E608" s="80"/>
    </row>
    <row r="609">
      <c r="C609" s="79"/>
      <c r="E609" s="80"/>
    </row>
    <row r="610">
      <c r="C610" s="79"/>
      <c r="E610" s="80"/>
    </row>
    <row r="611">
      <c r="C611" s="79"/>
      <c r="E611" s="80"/>
    </row>
    <row r="612">
      <c r="C612" s="79"/>
      <c r="E612" s="80"/>
    </row>
    <row r="613">
      <c r="C613" s="79"/>
      <c r="E613" s="80"/>
    </row>
    <row r="614">
      <c r="C614" s="79"/>
      <c r="E614" s="80"/>
    </row>
    <row r="615">
      <c r="C615" s="79"/>
      <c r="E615" s="80"/>
    </row>
    <row r="616">
      <c r="C616" s="79"/>
      <c r="E616" s="80"/>
    </row>
    <row r="617">
      <c r="C617" s="79"/>
      <c r="E617" s="80"/>
    </row>
    <row r="618">
      <c r="C618" s="79"/>
      <c r="E618" s="80"/>
    </row>
    <row r="619">
      <c r="C619" s="79"/>
      <c r="E619" s="80"/>
    </row>
    <row r="620">
      <c r="C620" s="79"/>
      <c r="E620" s="80"/>
    </row>
    <row r="621">
      <c r="C621" s="79"/>
      <c r="E621" s="80"/>
    </row>
    <row r="622">
      <c r="C622" s="79"/>
      <c r="E622" s="80"/>
    </row>
    <row r="623">
      <c r="C623" s="79"/>
      <c r="E623" s="80"/>
    </row>
    <row r="624">
      <c r="C624" s="79"/>
      <c r="E624" s="80"/>
    </row>
    <row r="625">
      <c r="C625" s="79"/>
      <c r="E625" s="80"/>
    </row>
    <row r="626">
      <c r="C626" s="79"/>
      <c r="E626" s="80"/>
    </row>
    <row r="627">
      <c r="C627" s="79"/>
      <c r="E627" s="80"/>
    </row>
    <row r="628">
      <c r="C628" s="79"/>
      <c r="E628" s="80"/>
    </row>
    <row r="629">
      <c r="C629" s="79"/>
      <c r="E629" s="80"/>
    </row>
    <row r="630">
      <c r="C630" s="79"/>
      <c r="E630" s="80"/>
    </row>
    <row r="631">
      <c r="C631" s="79"/>
      <c r="E631" s="80"/>
    </row>
    <row r="632">
      <c r="C632" s="79"/>
      <c r="E632" s="80"/>
    </row>
    <row r="633">
      <c r="C633" s="79"/>
      <c r="E633" s="80"/>
    </row>
    <row r="634">
      <c r="C634" s="79"/>
      <c r="E634" s="80"/>
    </row>
    <row r="635">
      <c r="C635" s="79"/>
      <c r="E635" s="80"/>
    </row>
    <row r="636">
      <c r="C636" s="79"/>
      <c r="E636" s="80"/>
    </row>
    <row r="637">
      <c r="C637" s="79"/>
      <c r="E637" s="80"/>
    </row>
    <row r="638">
      <c r="C638" s="79"/>
      <c r="E638" s="80"/>
    </row>
    <row r="639">
      <c r="C639" s="79"/>
      <c r="E639" s="80"/>
    </row>
    <row r="640">
      <c r="C640" s="79"/>
      <c r="E640" s="80"/>
    </row>
    <row r="641">
      <c r="C641" s="79"/>
      <c r="E641" s="80"/>
    </row>
    <row r="642">
      <c r="C642" s="79"/>
      <c r="E642" s="80"/>
    </row>
    <row r="643">
      <c r="C643" s="79"/>
      <c r="E643" s="80"/>
    </row>
    <row r="644">
      <c r="C644" s="79"/>
      <c r="E644" s="80"/>
    </row>
    <row r="645">
      <c r="C645" s="79"/>
      <c r="E645" s="80"/>
    </row>
    <row r="646">
      <c r="C646" s="79"/>
      <c r="E646" s="80"/>
    </row>
    <row r="647">
      <c r="C647" s="79"/>
      <c r="E647" s="80"/>
    </row>
    <row r="648">
      <c r="C648" s="79"/>
      <c r="E648" s="80"/>
    </row>
    <row r="649">
      <c r="C649" s="79"/>
      <c r="E649" s="80"/>
    </row>
    <row r="650">
      <c r="C650" s="79"/>
      <c r="E650" s="80"/>
    </row>
    <row r="651">
      <c r="C651" s="79"/>
      <c r="E651" s="80"/>
    </row>
    <row r="652">
      <c r="C652" s="79"/>
      <c r="E652" s="80"/>
    </row>
    <row r="653">
      <c r="C653" s="79"/>
      <c r="E653" s="80"/>
    </row>
    <row r="654">
      <c r="C654" s="79"/>
      <c r="E654" s="80"/>
    </row>
    <row r="655">
      <c r="C655" s="79"/>
      <c r="E655" s="80"/>
    </row>
    <row r="656">
      <c r="C656" s="79"/>
      <c r="E656" s="80"/>
    </row>
    <row r="657">
      <c r="C657" s="79"/>
      <c r="E657" s="80"/>
    </row>
    <row r="658">
      <c r="C658" s="79"/>
      <c r="E658" s="80"/>
    </row>
    <row r="659">
      <c r="C659" s="79"/>
      <c r="E659" s="80"/>
    </row>
    <row r="660">
      <c r="C660" s="79"/>
      <c r="E660" s="80"/>
    </row>
    <row r="661">
      <c r="C661" s="79"/>
      <c r="E661" s="80"/>
    </row>
    <row r="662">
      <c r="C662" s="79"/>
      <c r="E662" s="80"/>
    </row>
    <row r="663">
      <c r="C663" s="79"/>
      <c r="E663" s="80"/>
    </row>
    <row r="664">
      <c r="C664" s="79"/>
      <c r="E664" s="80"/>
    </row>
    <row r="665">
      <c r="C665" s="79"/>
      <c r="E665" s="80"/>
    </row>
    <row r="666">
      <c r="C666" s="79"/>
      <c r="E666" s="80"/>
    </row>
    <row r="667">
      <c r="C667" s="79"/>
      <c r="E667" s="80"/>
    </row>
    <row r="668">
      <c r="C668" s="79"/>
      <c r="E668" s="80"/>
    </row>
    <row r="669">
      <c r="C669" s="79"/>
      <c r="E669" s="80"/>
    </row>
    <row r="670">
      <c r="C670" s="79"/>
      <c r="E670" s="80"/>
    </row>
    <row r="671">
      <c r="C671" s="79"/>
      <c r="E671" s="80"/>
    </row>
    <row r="672">
      <c r="C672" s="79"/>
      <c r="E672" s="80"/>
    </row>
    <row r="673">
      <c r="C673" s="79"/>
      <c r="E673" s="80"/>
    </row>
    <row r="674">
      <c r="C674" s="79"/>
      <c r="E674" s="80"/>
    </row>
    <row r="675">
      <c r="C675" s="79"/>
      <c r="E675" s="80"/>
    </row>
    <row r="676">
      <c r="C676" s="79"/>
      <c r="E676" s="80"/>
    </row>
    <row r="677">
      <c r="C677" s="79"/>
      <c r="E677" s="80"/>
    </row>
    <row r="678">
      <c r="C678" s="79"/>
      <c r="E678" s="80"/>
    </row>
    <row r="679">
      <c r="C679" s="79"/>
      <c r="E679" s="80"/>
    </row>
    <row r="680">
      <c r="C680" s="79"/>
      <c r="E680" s="80"/>
    </row>
    <row r="681">
      <c r="C681" s="79"/>
      <c r="E681" s="80"/>
    </row>
    <row r="682">
      <c r="C682" s="79"/>
      <c r="E682" s="80"/>
    </row>
    <row r="683">
      <c r="C683" s="79"/>
      <c r="E683" s="80"/>
    </row>
    <row r="684">
      <c r="C684" s="79"/>
      <c r="E684" s="80"/>
    </row>
    <row r="685">
      <c r="C685" s="79"/>
      <c r="E685" s="80"/>
    </row>
    <row r="686">
      <c r="C686" s="79"/>
      <c r="E686" s="80"/>
    </row>
    <row r="687">
      <c r="C687" s="79"/>
      <c r="E687" s="80"/>
    </row>
    <row r="688">
      <c r="C688" s="79"/>
      <c r="E688" s="80"/>
    </row>
    <row r="689">
      <c r="C689" s="79"/>
      <c r="E689" s="80"/>
    </row>
    <row r="690">
      <c r="C690" s="79"/>
      <c r="E690" s="80"/>
    </row>
    <row r="691">
      <c r="C691" s="79"/>
      <c r="E691" s="80"/>
    </row>
    <row r="692">
      <c r="C692" s="79"/>
      <c r="E692" s="80"/>
    </row>
    <row r="693">
      <c r="C693" s="79"/>
      <c r="E693" s="80"/>
    </row>
    <row r="694">
      <c r="C694" s="79"/>
      <c r="E694" s="80"/>
    </row>
    <row r="695">
      <c r="C695" s="79"/>
      <c r="E695" s="80"/>
    </row>
    <row r="696">
      <c r="C696" s="79"/>
      <c r="E696" s="80"/>
    </row>
    <row r="697">
      <c r="C697" s="79"/>
      <c r="E697" s="80"/>
    </row>
    <row r="698">
      <c r="C698" s="79"/>
      <c r="E698" s="80"/>
    </row>
    <row r="699">
      <c r="C699" s="79"/>
      <c r="E699" s="80"/>
    </row>
    <row r="700">
      <c r="C700" s="79"/>
      <c r="E700" s="80"/>
    </row>
    <row r="701">
      <c r="C701" s="79"/>
      <c r="E701" s="80"/>
    </row>
    <row r="702">
      <c r="C702" s="79"/>
      <c r="E702" s="80"/>
    </row>
    <row r="703">
      <c r="C703" s="79"/>
      <c r="E703" s="80"/>
    </row>
    <row r="704">
      <c r="C704" s="79"/>
      <c r="E704" s="80"/>
    </row>
    <row r="705">
      <c r="C705" s="79"/>
      <c r="E705" s="80"/>
    </row>
    <row r="706">
      <c r="C706" s="79"/>
      <c r="E706" s="80"/>
    </row>
    <row r="707">
      <c r="C707" s="79"/>
      <c r="E707" s="80"/>
    </row>
    <row r="708">
      <c r="C708" s="79"/>
      <c r="E708" s="80"/>
    </row>
    <row r="709">
      <c r="C709" s="79"/>
      <c r="E709" s="80"/>
    </row>
    <row r="710">
      <c r="C710" s="79"/>
      <c r="E710" s="80"/>
    </row>
    <row r="711">
      <c r="C711" s="79"/>
      <c r="E711" s="80"/>
    </row>
    <row r="712">
      <c r="C712" s="79"/>
      <c r="E712" s="80"/>
    </row>
    <row r="713">
      <c r="C713" s="79"/>
      <c r="E713" s="80"/>
    </row>
    <row r="714">
      <c r="C714" s="79"/>
      <c r="E714" s="80"/>
    </row>
    <row r="715">
      <c r="C715" s="79"/>
      <c r="E715" s="80"/>
    </row>
    <row r="716">
      <c r="C716" s="79"/>
      <c r="E716" s="80"/>
    </row>
    <row r="717">
      <c r="C717" s="79"/>
      <c r="E717" s="80"/>
    </row>
    <row r="718">
      <c r="C718" s="79"/>
      <c r="E718" s="80"/>
    </row>
    <row r="719">
      <c r="C719" s="79"/>
      <c r="E719" s="80"/>
    </row>
    <row r="720">
      <c r="C720" s="79"/>
      <c r="E720" s="80"/>
    </row>
    <row r="721">
      <c r="C721" s="79"/>
      <c r="E721" s="80"/>
    </row>
    <row r="722">
      <c r="C722" s="79"/>
      <c r="E722" s="80"/>
    </row>
    <row r="723">
      <c r="C723" s="79"/>
      <c r="E723" s="80"/>
    </row>
    <row r="724">
      <c r="C724" s="79"/>
      <c r="E724" s="80"/>
    </row>
    <row r="725">
      <c r="C725" s="79"/>
      <c r="E725" s="80"/>
    </row>
    <row r="726">
      <c r="C726" s="79"/>
      <c r="E726" s="80"/>
    </row>
    <row r="727">
      <c r="C727" s="79"/>
      <c r="E727" s="80"/>
    </row>
    <row r="728">
      <c r="C728" s="79"/>
      <c r="E728" s="80"/>
    </row>
    <row r="729">
      <c r="C729" s="79"/>
      <c r="E729" s="80"/>
    </row>
    <row r="730">
      <c r="C730" s="79"/>
      <c r="E730" s="80"/>
    </row>
    <row r="731">
      <c r="C731" s="79"/>
      <c r="E731" s="80"/>
    </row>
    <row r="732">
      <c r="C732" s="79"/>
      <c r="E732" s="80"/>
    </row>
    <row r="733">
      <c r="C733" s="79"/>
      <c r="E733" s="80"/>
    </row>
    <row r="734">
      <c r="C734" s="79"/>
      <c r="E734" s="80"/>
    </row>
    <row r="735">
      <c r="C735" s="79"/>
      <c r="E735" s="80"/>
    </row>
    <row r="736">
      <c r="C736" s="79"/>
      <c r="E736" s="80"/>
    </row>
    <row r="737">
      <c r="C737" s="79"/>
      <c r="E737" s="80"/>
    </row>
    <row r="738">
      <c r="C738" s="79"/>
      <c r="E738" s="80"/>
    </row>
    <row r="739">
      <c r="C739" s="79"/>
      <c r="E739" s="80"/>
    </row>
    <row r="740">
      <c r="C740" s="79"/>
      <c r="E740" s="80"/>
    </row>
    <row r="741">
      <c r="C741" s="79"/>
      <c r="E741" s="80"/>
    </row>
    <row r="742">
      <c r="C742" s="79"/>
      <c r="E742" s="80"/>
    </row>
    <row r="743">
      <c r="C743" s="79"/>
      <c r="E743" s="80"/>
    </row>
    <row r="744">
      <c r="C744" s="79"/>
      <c r="E744" s="80"/>
    </row>
    <row r="745">
      <c r="C745" s="79"/>
      <c r="E745" s="80"/>
    </row>
    <row r="746">
      <c r="C746" s="79"/>
      <c r="E746" s="80"/>
    </row>
    <row r="747">
      <c r="C747" s="79"/>
      <c r="E747" s="80"/>
    </row>
    <row r="748">
      <c r="C748" s="79"/>
      <c r="E748" s="80"/>
    </row>
    <row r="749">
      <c r="C749" s="79"/>
      <c r="E749" s="80"/>
    </row>
    <row r="750">
      <c r="C750" s="79"/>
      <c r="E750" s="80"/>
    </row>
    <row r="751">
      <c r="C751" s="79"/>
      <c r="E751" s="80"/>
    </row>
    <row r="752">
      <c r="C752" s="79"/>
      <c r="E752" s="80"/>
    </row>
    <row r="753">
      <c r="C753" s="79"/>
      <c r="E753" s="80"/>
    </row>
    <row r="754">
      <c r="C754" s="79"/>
      <c r="E754" s="80"/>
    </row>
    <row r="755">
      <c r="C755" s="79"/>
      <c r="E755" s="80"/>
    </row>
    <row r="756">
      <c r="C756" s="79"/>
      <c r="E756" s="80"/>
    </row>
    <row r="757">
      <c r="C757" s="79"/>
      <c r="E757" s="80"/>
    </row>
    <row r="758">
      <c r="C758" s="79"/>
      <c r="E758" s="80"/>
    </row>
    <row r="759">
      <c r="C759" s="79"/>
      <c r="E759" s="80"/>
    </row>
    <row r="760">
      <c r="C760" s="79"/>
      <c r="E760" s="80"/>
    </row>
    <row r="761">
      <c r="C761" s="79"/>
      <c r="E761" s="80"/>
    </row>
    <row r="762">
      <c r="C762" s="79"/>
      <c r="E762" s="80"/>
    </row>
    <row r="763">
      <c r="C763" s="79"/>
      <c r="E763" s="80"/>
    </row>
    <row r="764">
      <c r="C764" s="79"/>
      <c r="E764" s="80"/>
    </row>
    <row r="765">
      <c r="C765" s="79"/>
      <c r="E765" s="80"/>
    </row>
    <row r="766">
      <c r="C766" s="79"/>
      <c r="E766" s="80"/>
    </row>
    <row r="767">
      <c r="C767" s="79"/>
      <c r="E767" s="80"/>
    </row>
    <row r="768">
      <c r="C768" s="79"/>
      <c r="E768" s="80"/>
    </row>
    <row r="769">
      <c r="C769" s="79"/>
      <c r="E769" s="80"/>
    </row>
    <row r="770">
      <c r="C770" s="79"/>
      <c r="E770" s="80"/>
    </row>
    <row r="771">
      <c r="C771" s="79"/>
      <c r="E771" s="80"/>
    </row>
    <row r="772">
      <c r="C772" s="79"/>
      <c r="E772" s="80"/>
    </row>
    <row r="773">
      <c r="C773" s="79"/>
      <c r="E773" s="80"/>
    </row>
    <row r="774">
      <c r="C774" s="79"/>
      <c r="E774" s="80"/>
    </row>
    <row r="775">
      <c r="C775" s="79"/>
      <c r="E775" s="80"/>
    </row>
    <row r="776">
      <c r="C776" s="79"/>
      <c r="E776" s="80"/>
    </row>
    <row r="777">
      <c r="C777" s="79"/>
      <c r="E777" s="80"/>
    </row>
    <row r="778">
      <c r="C778" s="79"/>
      <c r="E778" s="80"/>
    </row>
    <row r="779">
      <c r="C779" s="79"/>
      <c r="E779" s="80"/>
    </row>
    <row r="780">
      <c r="C780" s="79"/>
      <c r="E780" s="80"/>
    </row>
    <row r="781">
      <c r="C781" s="79"/>
      <c r="E781" s="80"/>
    </row>
    <row r="782">
      <c r="C782" s="79"/>
      <c r="E782" s="80"/>
    </row>
    <row r="783">
      <c r="C783" s="79"/>
      <c r="E783" s="80"/>
    </row>
    <row r="784">
      <c r="C784" s="79"/>
      <c r="E784" s="80"/>
    </row>
    <row r="785">
      <c r="C785" s="79"/>
      <c r="E785" s="80"/>
    </row>
    <row r="786">
      <c r="C786" s="79"/>
      <c r="E786" s="80"/>
    </row>
    <row r="787">
      <c r="C787" s="79"/>
      <c r="E787" s="80"/>
    </row>
    <row r="788">
      <c r="C788" s="79"/>
      <c r="E788" s="80"/>
    </row>
    <row r="789">
      <c r="C789" s="79"/>
      <c r="E789" s="80"/>
    </row>
    <row r="790">
      <c r="C790" s="79"/>
      <c r="E790" s="80"/>
    </row>
    <row r="791">
      <c r="C791" s="79"/>
      <c r="E791" s="80"/>
    </row>
    <row r="792">
      <c r="C792" s="79"/>
      <c r="E792" s="80"/>
    </row>
    <row r="793">
      <c r="C793" s="79"/>
      <c r="E793" s="80"/>
    </row>
    <row r="794">
      <c r="C794" s="79"/>
      <c r="E794" s="80"/>
    </row>
    <row r="795">
      <c r="C795" s="79"/>
      <c r="E795" s="80"/>
    </row>
    <row r="796">
      <c r="C796" s="79"/>
      <c r="E796" s="80"/>
    </row>
    <row r="797">
      <c r="C797" s="79"/>
      <c r="E797" s="80"/>
    </row>
    <row r="798">
      <c r="C798" s="79"/>
      <c r="E798" s="80"/>
    </row>
    <row r="799">
      <c r="C799" s="79"/>
      <c r="E799" s="80"/>
    </row>
    <row r="800">
      <c r="C800" s="79"/>
      <c r="E800" s="80"/>
    </row>
    <row r="801">
      <c r="C801" s="79"/>
      <c r="E801" s="80"/>
    </row>
    <row r="802">
      <c r="C802" s="79"/>
      <c r="E802" s="80"/>
    </row>
    <row r="803">
      <c r="C803" s="79"/>
      <c r="E803" s="80"/>
    </row>
    <row r="804">
      <c r="C804" s="79"/>
      <c r="E804" s="80"/>
    </row>
    <row r="805">
      <c r="C805" s="79"/>
      <c r="E805" s="80"/>
    </row>
    <row r="806">
      <c r="C806" s="79"/>
      <c r="E806" s="80"/>
    </row>
    <row r="807">
      <c r="C807" s="79"/>
      <c r="E807" s="80"/>
    </row>
    <row r="808">
      <c r="C808" s="79"/>
      <c r="E808" s="80"/>
    </row>
    <row r="809">
      <c r="C809" s="79"/>
      <c r="E809" s="80"/>
    </row>
    <row r="810">
      <c r="C810" s="79"/>
      <c r="E810" s="80"/>
    </row>
    <row r="811">
      <c r="C811" s="79"/>
      <c r="E811" s="80"/>
    </row>
    <row r="812">
      <c r="C812" s="79"/>
      <c r="E812" s="80"/>
    </row>
    <row r="813">
      <c r="C813" s="79"/>
      <c r="E813" s="80"/>
    </row>
    <row r="814">
      <c r="C814" s="79"/>
      <c r="E814" s="80"/>
    </row>
    <row r="815">
      <c r="C815" s="79"/>
      <c r="E815" s="80"/>
    </row>
    <row r="816">
      <c r="C816" s="79"/>
      <c r="E816" s="80"/>
    </row>
    <row r="817">
      <c r="C817" s="79"/>
      <c r="E817" s="80"/>
    </row>
    <row r="818">
      <c r="C818" s="79"/>
      <c r="E818" s="80"/>
    </row>
    <row r="819">
      <c r="C819" s="79"/>
      <c r="E819" s="80"/>
    </row>
    <row r="820">
      <c r="C820" s="79"/>
      <c r="E820" s="80"/>
    </row>
    <row r="821">
      <c r="C821" s="79"/>
      <c r="E821" s="80"/>
    </row>
    <row r="822">
      <c r="C822" s="79"/>
      <c r="E822" s="80"/>
    </row>
    <row r="823">
      <c r="C823" s="79"/>
      <c r="E823" s="80"/>
    </row>
    <row r="824">
      <c r="C824" s="79"/>
      <c r="E824" s="80"/>
    </row>
    <row r="825">
      <c r="C825" s="79"/>
      <c r="E825" s="80"/>
    </row>
    <row r="826">
      <c r="C826" s="79"/>
      <c r="E826" s="80"/>
    </row>
    <row r="827">
      <c r="C827" s="79"/>
      <c r="E827" s="80"/>
    </row>
    <row r="828">
      <c r="C828" s="79"/>
      <c r="E828" s="80"/>
    </row>
    <row r="829">
      <c r="C829" s="79"/>
      <c r="E829" s="80"/>
    </row>
    <row r="830">
      <c r="C830" s="79"/>
      <c r="E830" s="80"/>
    </row>
    <row r="831">
      <c r="C831" s="79"/>
      <c r="E831" s="80"/>
    </row>
    <row r="832">
      <c r="C832" s="79"/>
      <c r="E832" s="80"/>
    </row>
    <row r="833">
      <c r="C833" s="79"/>
      <c r="E833" s="80"/>
    </row>
    <row r="834">
      <c r="C834" s="79"/>
      <c r="E834" s="80"/>
    </row>
    <row r="835">
      <c r="C835" s="79"/>
      <c r="E835" s="80"/>
    </row>
    <row r="836">
      <c r="C836" s="79"/>
      <c r="E836" s="80"/>
    </row>
    <row r="837">
      <c r="C837" s="79"/>
      <c r="E837" s="80"/>
    </row>
    <row r="838">
      <c r="C838" s="79"/>
      <c r="E838" s="80"/>
    </row>
    <row r="839">
      <c r="C839" s="79"/>
      <c r="E839" s="80"/>
    </row>
    <row r="840">
      <c r="C840" s="79"/>
      <c r="E840" s="80"/>
    </row>
    <row r="841">
      <c r="C841" s="79"/>
      <c r="E841" s="80"/>
    </row>
    <row r="842">
      <c r="C842" s="79"/>
      <c r="E842" s="80"/>
    </row>
    <row r="843">
      <c r="C843" s="79"/>
      <c r="E843" s="80"/>
    </row>
    <row r="844">
      <c r="C844" s="79"/>
      <c r="E844" s="80"/>
    </row>
    <row r="845">
      <c r="C845" s="79"/>
      <c r="E845" s="80"/>
    </row>
    <row r="846">
      <c r="C846" s="79"/>
      <c r="E846" s="80"/>
    </row>
    <row r="847">
      <c r="C847" s="79"/>
      <c r="E847" s="80"/>
    </row>
    <row r="848">
      <c r="C848" s="79"/>
      <c r="E848" s="80"/>
    </row>
    <row r="849">
      <c r="C849" s="79"/>
      <c r="E849" s="80"/>
    </row>
    <row r="850">
      <c r="C850" s="79"/>
      <c r="E850" s="80"/>
    </row>
    <row r="851">
      <c r="C851" s="79"/>
      <c r="E851" s="80"/>
    </row>
    <row r="852">
      <c r="C852" s="79"/>
      <c r="E852" s="80"/>
    </row>
    <row r="853">
      <c r="C853" s="79"/>
      <c r="E853" s="80"/>
    </row>
    <row r="854">
      <c r="C854" s="79"/>
      <c r="E854" s="80"/>
    </row>
    <row r="855">
      <c r="C855" s="79"/>
      <c r="E855" s="80"/>
    </row>
    <row r="856">
      <c r="C856" s="79"/>
      <c r="E856" s="80"/>
    </row>
    <row r="857">
      <c r="C857" s="79"/>
      <c r="E857" s="80"/>
    </row>
    <row r="858">
      <c r="C858" s="79"/>
      <c r="E858" s="80"/>
    </row>
    <row r="859">
      <c r="C859" s="79"/>
      <c r="E859" s="80"/>
    </row>
    <row r="860">
      <c r="C860" s="79"/>
      <c r="E860" s="80"/>
    </row>
    <row r="861">
      <c r="C861" s="79"/>
      <c r="E861" s="80"/>
    </row>
    <row r="862">
      <c r="C862" s="79"/>
      <c r="E862" s="80"/>
    </row>
    <row r="863">
      <c r="C863" s="79"/>
      <c r="E863" s="80"/>
    </row>
    <row r="864">
      <c r="C864" s="79"/>
      <c r="E864" s="80"/>
    </row>
    <row r="865">
      <c r="C865" s="79"/>
      <c r="E865" s="80"/>
    </row>
    <row r="866">
      <c r="C866" s="79"/>
      <c r="E866" s="80"/>
    </row>
    <row r="867">
      <c r="C867" s="79"/>
      <c r="E867" s="80"/>
    </row>
    <row r="868">
      <c r="C868" s="79"/>
      <c r="E868" s="80"/>
    </row>
    <row r="869">
      <c r="C869" s="79"/>
      <c r="E869" s="80"/>
    </row>
    <row r="870">
      <c r="C870" s="79"/>
      <c r="E870" s="80"/>
    </row>
    <row r="871">
      <c r="C871" s="79"/>
      <c r="E871" s="80"/>
    </row>
    <row r="872">
      <c r="C872" s="79"/>
      <c r="E872" s="80"/>
    </row>
    <row r="873">
      <c r="C873" s="79"/>
      <c r="E873" s="80"/>
    </row>
    <row r="874">
      <c r="C874" s="79"/>
      <c r="E874" s="80"/>
    </row>
    <row r="875">
      <c r="C875" s="79"/>
      <c r="E875" s="80"/>
    </row>
    <row r="876">
      <c r="C876" s="79"/>
      <c r="E876" s="80"/>
    </row>
    <row r="877">
      <c r="C877" s="79"/>
      <c r="E877" s="80"/>
    </row>
    <row r="878">
      <c r="C878" s="79"/>
      <c r="E878" s="80"/>
    </row>
    <row r="879">
      <c r="C879" s="79"/>
      <c r="E879" s="80"/>
    </row>
    <row r="880">
      <c r="C880" s="79"/>
      <c r="E880" s="80"/>
    </row>
    <row r="881">
      <c r="C881" s="79"/>
      <c r="E881" s="80"/>
    </row>
    <row r="882">
      <c r="C882" s="79"/>
      <c r="E882" s="80"/>
    </row>
    <row r="883">
      <c r="C883" s="79"/>
      <c r="E883" s="80"/>
    </row>
    <row r="884">
      <c r="C884" s="79"/>
      <c r="E884" s="80"/>
    </row>
    <row r="885">
      <c r="C885" s="79"/>
      <c r="E885" s="80"/>
    </row>
    <row r="886">
      <c r="C886" s="79"/>
      <c r="E886" s="80"/>
    </row>
    <row r="887">
      <c r="C887" s="79"/>
      <c r="E887" s="80"/>
    </row>
    <row r="888">
      <c r="C888" s="79"/>
      <c r="E888" s="80"/>
    </row>
    <row r="889">
      <c r="C889" s="79"/>
      <c r="E889" s="80"/>
    </row>
    <row r="890">
      <c r="C890" s="79"/>
      <c r="E890" s="80"/>
    </row>
    <row r="891">
      <c r="C891" s="79"/>
      <c r="E891" s="80"/>
    </row>
    <row r="892">
      <c r="C892" s="79"/>
      <c r="E892" s="80"/>
    </row>
    <row r="893">
      <c r="C893" s="79"/>
      <c r="E893" s="80"/>
    </row>
    <row r="894">
      <c r="C894" s="79"/>
      <c r="E894" s="80"/>
    </row>
    <row r="895">
      <c r="C895" s="79"/>
      <c r="E895" s="80"/>
    </row>
    <row r="896">
      <c r="C896" s="79"/>
      <c r="E896" s="80"/>
    </row>
    <row r="897">
      <c r="C897" s="79"/>
      <c r="E897" s="80"/>
    </row>
    <row r="898">
      <c r="C898" s="79"/>
      <c r="E898" s="80"/>
    </row>
    <row r="899">
      <c r="C899" s="79"/>
      <c r="E899" s="80"/>
    </row>
    <row r="900">
      <c r="C900" s="79"/>
      <c r="E900" s="80"/>
    </row>
    <row r="901">
      <c r="C901" s="79"/>
      <c r="E901" s="80"/>
    </row>
    <row r="902">
      <c r="C902" s="79"/>
      <c r="E902" s="80"/>
    </row>
    <row r="903">
      <c r="C903" s="79"/>
      <c r="E903" s="80"/>
    </row>
    <row r="904">
      <c r="C904" s="79"/>
      <c r="E904" s="80"/>
    </row>
    <row r="905">
      <c r="C905" s="79"/>
      <c r="E905" s="80"/>
    </row>
    <row r="906">
      <c r="C906" s="79"/>
      <c r="E906" s="80"/>
    </row>
    <row r="907">
      <c r="C907" s="79"/>
      <c r="E907" s="80"/>
    </row>
    <row r="908">
      <c r="C908" s="79"/>
      <c r="E908" s="80"/>
    </row>
    <row r="909">
      <c r="C909" s="79"/>
      <c r="E909" s="80"/>
    </row>
    <row r="910">
      <c r="C910" s="79"/>
      <c r="E910" s="80"/>
    </row>
    <row r="911">
      <c r="C911" s="79"/>
      <c r="E911" s="80"/>
    </row>
    <row r="912">
      <c r="C912" s="79"/>
      <c r="E912" s="80"/>
    </row>
    <row r="913">
      <c r="C913" s="79"/>
      <c r="E913" s="80"/>
    </row>
    <row r="914">
      <c r="C914" s="79"/>
      <c r="E914" s="80"/>
    </row>
    <row r="915">
      <c r="C915" s="79"/>
      <c r="E915" s="80"/>
    </row>
    <row r="916">
      <c r="C916" s="79"/>
      <c r="E916" s="80"/>
    </row>
    <row r="917">
      <c r="C917" s="79"/>
      <c r="E917" s="80"/>
    </row>
    <row r="918">
      <c r="C918" s="79"/>
      <c r="E918" s="80"/>
    </row>
    <row r="919">
      <c r="C919" s="79"/>
      <c r="E919" s="80"/>
    </row>
    <row r="920">
      <c r="C920" s="79"/>
      <c r="E920" s="80"/>
    </row>
    <row r="921">
      <c r="C921" s="79"/>
      <c r="E921" s="80"/>
    </row>
    <row r="922">
      <c r="C922" s="79"/>
      <c r="E922" s="80"/>
    </row>
    <row r="923">
      <c r="C923" s="79"/>
      <c r="E923" s="80"/>
    </row>
    <row r="924">
      <c r="C924" s="79"/>
      <c r="E924" s="80"/>
    </row>
    <row r="925">
      <c r="C925" s="79"/>
      <c r="E925" s="80"/>
    </row>
    <row r="926">
      <c r="C926" s="79"/>
      <c r="E926" s="80"/>
    </row>
    <row r="927">
      <c r="C927" s="79"/>
      <c r="E927" s="80"/>
    </row>
    <row r="928">
      <c r="C928" s="79"/>
      <c r="E928" s="80"/>
    </row>
    <row r="929">
      <c r="C929" s="79"/>
      <c r="E929" s="80"/>
    </row>
    <row r="930">
      <c r="C930" s="79"/>
      <c r="E930" s="80"/>
    </row>
    <row r="931">
      <c r="C931" s="79"/>
      <c r="E931" s="80"/>
    </row>
    <row r="932">
      <c r="C932" s="79"/>
      <c r="E932" s="80"/>
    </row>
    <row r="933">
      <c r="C933" s="79"/>
      <c r="E933" s="80"/>
    </row>
    <row r="934">
      <c r="C934" s="79"/>
      <c r="E934" s="80"/>
    </row>
    <row r="935">
      <c r="C935" s="79"/>
      <c r="E935" s="80"/>
    </row>
    <row r="936">
      <c r="C936" s="79"/>
      <c r="E936" s="80"/>
    </row>
    <row r="937">
      <c r="C937" s="79"/>
      <c r="E937" s="80"/>
    </row>
    <row r="938">
      <c r="C938" s="79"/>
      <c r="E938" s="80"/>
    </row>
    <row r="939">
      <c r="C939" s="79"/>
      <c r="E939" s="80"/>
    </row>
    <row r="940">
      <c r="C940" s="79"/>
      <c r="E940" s="80"/>
    </row>
    <row r="941">
      <c r="C941" s="79"/>
      <c r="E941" s="80"/>
    </row>
    <row r="942">
      <c r="C942" s="79"/>
      <c r="E942" s="80"/>
    </row>
    <row r="943">
      <c r="C943" s="79"/>
      <c r="E943" s="80"/>
    </row>
    <row r="944">
      <c r="C944" s="79"/>
      <c r="E944" s="80"/>
    </row>
    <row r="945">
      <c r="C945" s="79"/>
      <c r="E945" s="80"/>
    </row>
    <row r="946">
      <c r="C946" s="79"/>
      <c r="E946" s="80"/>
    </row>
    <row r="947">
      <c r="C947" s="79"/>
      <c r="E947" s="80"/>
    </row>
    <row r="948">
      <c r="C948" s="79"/>
      <c r="E948" s="80"/>
    </row>
    <row r="949">
      <c r="C949" s="79"/>
      <c r="E949" s="80"/>
    </row>
    <row r="950">
      <c r="C950" s="79"/>
      <c r="E950" s="80"/>
    </row>
    <row r="951">
      <c r="C951" s="79"/>
      <c r="E951" s="80"/>
    </row>
    <row r="952">
      <c r="C952" s="79"/>
      <c r="E952" s="80"/>
    </row>
    <row r="953">
      <c r="C953" s="79"/>
      <c r="E953" s="80"/>
    </row>
    <row r="954">
      <c r="C954" s="79"/>
      <c r="E954" s="80"/>
    </row>
    <row r="955">
      <c r="C955" s="79"/>
      <c r="E955" s="80"/>
    </row>
    <row r="956">
      <c r="C956" s="79"/>
      <c r="E956" s="80"/>
    </row>
    <row r="957">
      <c r="C957" s="79"/>
      <c r="E957" s="80"/>
    </row>
    <row r="958">
      <c r="C958" s="79"/>
      <c r="E958" s="80"/>
    </row>
    <row r="959">
      <c r="C959" s="79"/>
      <c r="E959" s="80"/>
    </row>
    <row r="960">
      <c r="C960" s="79"/>
      <c r="E960" s="80"/>
    </row>
    <row r="961">
      <c r="C961" s="79"/>
      <c r="E961" s="80"/>
    </row>
    <row r="962">
      <c r="C962" s="79"/>
      <c r="E962" s="80"/>
    </row>
    <row r="963">
      <c r="C963" s="79"/>
      <c r="E963" s="80"/>
    </row>
    <row r="964">
      <c r="C964" s="79"/>
      <c r="E964" s="80"/>
    </row>
    <row r="965">
      <c r="C965" s="79"/>
      <c r="E965" s="80"/>
    </row>
    <row r="966">
      <c r="C966" s="79"/>
      <c r="E966" s="80"/>
    </row>
    <row r="967">
      <c r="C967" s="79"/>
      <c r="E967" s="80"/>
    </row>
    <row r="968">
      <c r="C968" s="79"/>
      <c r="E968" s="80"/>
    </row>
    <row r="969">
      <c r="C969" s="79"/>
      <c r="E969" s="80"/>
    </row>
    <row r="970">
      <c r="C970" s="79"/>
      <c r="E970" s="80"/>
    </row>
    <row r="971">
      <c r="C971" s="79"/>
      <c r="E971" s="80"/>
    </row>
    <row r="972">
      <c r="C972" s="79"/>
      <c r="E972" s="80"/>
    </row>
    <row r="973">
      <c r="C973" s="79"/>
      <c r="E973" s="80"/>
    </row>
    <row r="974">
      <c r="C974" s="79"/>
      <c r="E974" s="80"/>
    </row>
    <row r="975">
      <c r="C975" s="79"/>
      <c r="E975" s="80"/>
    </row>
    <row r="976">
      <c r="C976" s="79"/>
      <c r="E976" s="80"/>
    </row>
    <row r="977">
      <c r="C977" s="79"/>
      <c r="E977" s="80"/>
    </row>
    <row r="978">
      <c r="C978" s="79"/>
      <c r="E978" s="80"/>
    </row>
    <row r="979">
      <c r="C979" s="79"/>
      <c r="E979" s="80"/>
    </row>
    <row r="980">
      <c r="C980" s="79"/>
      <c r="E980" s="80"/>
    </row>
    <row r="981">
      <c r="C981" s="79"/>
      <c r="E981" s="80"/>
    </row>
    <row r="982">
      <c r="C982" s="79"/>
      <c r="E982" s="80"/>
    </row>
    <row r="983">
      <c r="C983" s="79"/>
      <c r="E983" s="80"/>
    </row>
    <row r="984">
      <c r="C984" s="79"/>
      <c r="E984" s="80"/>
    </row>
    <row r="985">
      <c r="C985" s="79"/>
      <c r="E985" s="80"/>
    </row>
    <row r="986">
      <c r="C986" s="79"/>
      <c r="E986" s="80"/>
    </row>
    <row r="987">
      <c r="C987" s="79"/>
      <c r="E987" s="80"/>
    </row>
    <row r="988">
      <c r="C988" s="79"/>
      <c r="E988" s="80"/>
    </row>
    <row r="989">
      <c r="C989" s="79"/>
      <c r="E989" s="80"/>
    </row>
    <row r="990">
      <c r="C990" s="79"/>
      <c r="E990" s="80"/>
    </row>
    <row r="991">
      <c r="C991" s="79"/>
      <c r="E991" s="80"/>
    </row>
    <row r="992">
      <c r="C992" s="79"/>
      <c r="E992" s="80"/>
    </row>
    <row r="993">
      <c r="C993" s="79"/>
      <c r="E993" s="80"/>
    </row>
    <row r="994">
      <c r="C994" s="79"/>
      <c r="E994" s="80"/>
    </row>
    <row r="995">
      <c r="C995" s="79"/>
      <c r="E995" s="80"/>
    </row>
    <row r="996">
      <c r="C996" s="79"/>
      <c r="E996" s="80"/>
    </row>
    <row r="997">
      <c r="C997" s="79"/>
      <c r="E997" s="80"/>
    </row>
    <row r="998">
      <c r="C998" s="79"/>
      <c r="E998" s="80"/>
    </row>
    <row r="999">
      <c r="C999" s="79"/>
      <c r="E999" s="80"/>
    </row>
    <row r="1000">
      <c r="C1000" s="79"/>
      <c r="E1000" s="80"/>
    </row>
    <row r="1001">
      <c r="C1001" s="79"/>
      <c r="E1001" s="80"/>
    </row>
    <row r="1002">
      <c r="C1002" s="79"/>
      <c r="E1002" s="80"/>
    </row>
    <row r="1003">
      <c r="C1003" s="79"/>
      <c r="E1003" s="80"/>
    </row>
    <row r="1004">
      <c r="C1004" s="79"/>
      <c r="E1004" s="80"/>
    </row>
  </sheetData>
  <hyperlinks>
    <hyperlink r:id="rId1" ref="E21"/>
    <hyperlink r:id="rId2" ref="E22"/>
    <hyperlink r:id="rId3" ref="E23"/>
    <hyperlink r:id="rId4" ref="E24"/>
    <hyperlink r:id="rId5" ref="E31"/>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61.88"/>
    <col customWidth="1" min="3" max="3" width="21.0"/>
    <col customWidth="1" min="4" max="4" width="18.88"/>
  </cols>
  <sheetData>
    <row r="1">
      <c r="A1" s="2" t="s">
        <v>280</v>
      </c>
      <c r="B1" s="96"/>
    </row>
    <row r="2">
      <c r="A2" s="97" t="s">
        <v>285</v>
      </c>
      <c r="B2" s="98" t="s">
        <v>286</v>
      </c>
      <c r="C2" s="99"/>
      <c r="D2" s="99"/>
      <c r="E2" s="99"/>
      <c r="F2" s="99"/>
      <c r="G2" s="99"/>
      <c r="H2" s="99"/>
      <c r="I2" s="99"/>
      <c r="J2" s="99"/>
      <c r="K2" s="99"/>
      <c r="L2" s="99"/>
      <c r="M2" s="99"/>
      <c r="N2" s="99"/>
      <c r="O2" s="99"/>
      <c r="P2" s="99"/>
      <c r="Q2" s="99"/>
      <c r="R2" s="99"/>
      <c r="S2" s="99"/>
      <c r="T2" s="99"/>
      <c r="U2" s="99"/>
      <c r="V2" s="99"/>
      <c r="W2" s="99"/>
      <c r="X2" s="99"/>
      <c r="Y2" s="99"/>
      <c r="Z2" s="99"/>
    </row>
    <row r="3">
      <c r="A3" s="9" t="s">
        <v>287</v>
      </c>
      <c r="B3" s="100" t="s">
        <v>288</v>
      </c>
      <c r="C3" s="9" t="s">
        <v>289</v>
      </c>
    </row>
    <row r="4">
      <c r="A4" s="9" t="s">
        <v>290</v>
      </c>
      <c r="B4" s="101" t="s">
        <v>291</v>
      </c>
      <c r="C4" s="102" t="s">
        <v>292</v>
      </c>
      <c r="D4" s="17" t="s">
        <v>294</v>
      </c>
      <c r="E4" s="9" t="s">
        <v>295</v>
      </c>
    </row>
    <row r="5">
      <c r="A5" s="9"/>
      <c r="B5" s="103"/>
      <c r="C5" s="9" t="s">
        <v>296</v>
      </c>
      <c r="D5" s="9" t="s">
        <v>298</v>
      </c>
      <c r="E5" s="9"/>
    </row>
    <row r="6">
      <c r="A6" s="106"/>
    </row>
    <row r="7">
      <c r="A7" s="9" t="s">
        <v>301</v>
      </c>
      <c r="B7" s="103" t="s">
        <v>302</v>
      </c>
    </row>
    <row r="8">
      <c r="B8" s="103" t="s">
        <v>303</v>
      </c>
    </row>
    <row r="9">
      <c r="B9" s="103" t="s">
        <v>306</v>
      </c>
    </row>
    <row r="10">
      <c r="A10" s="106"/>
    </row>
    <row r="11">
      <c r="A11" s="9" t="s">
        <v>309</v>
      </c>
      <c r="B11" s="103" t="s">
        <v>311</v>
      </c>
    </row>
    <row r="12">
      <c r="B12" s="96"/>
    </row>
    <row r="13">
      <c r="A13" s="97" t="s">
        <v>285</v>
      </c>
      <c r="B13" s="98" t="s">
        <v>314</v>
      </c>
      <c r="C13" s="97" t="s">
        <v>315</v>
      </c>
      <c r="D13" s="97" t="s">
        <v>316</v>
      </c>
      <c r="E13" s="99"/>
      <c r="F13" s="99"/>
      <c r="G13" s="99"/>
      <c r="H13" s="99"/>
      <c r="I13" s="99"/>
      <c r="J13" s="99"/>
      <c r="K13" s="99"/>
      <c r="L13" s="99"/>
      <c r="M13" s="99"/>
      <c r="N13" s="99"/>
      <c r="O13" s="99"/>
      <c r="P13" s="99"/>
      <c r="Q13" s="99"/>
      <c r="R13" s="99"/>
      <c r="S13" s="99"/>
      <c r="T13" s="99"/>
      <c r="U13" s="99"/>
      <c r="V13" s="99"/>
      <c r="W13" s="99"/>
      <c r="X13" s="99"/>
      <c r="Y13" s="99"/>
      <c r="Z13" s="99"/>
    </row>
    <row r="14">
      <c r="A14" s="9" t="s">
        <v>319</v>
      </c>
      <c r="B14" s="103" t="s">
        <v>320</v>
      </c>
      <c r="C14" s="9" t="s">
        <v>181</v>
      </c>
    </row>
    <row r="15">
      <c r="A15" s="9" t="s">
        <v>322</v>
      </c>
      <c r="B15" s="103" t="s">
        <v>320</v>
      </c>
    </row>
    <row r="16">
      <c r="B16" s="96"/>
    </row>
    <row r="17">
      <c r="B17" s="96"/>
    </row>
    <row r="18">
      <c r="B18" s="96"/>
    </row>
    <row r="19">
      <c r="B19" s="96"/>
    </row>
    <row r="20">
      <c r="B20" s="96"/>
    </row>
    <row r="21">
      <c r="B21" s="96"/>
    </row>
    <row r="22">
      <c r="B22" s="96"/>
    </row>
    <row r="23">
      <c r="B23" s="96"/>
    </row>
    <row r="24">
      <c r="B24" s="96"/>
    </row>
    <row r="25">
      <c r="B25" s="96"/>
    </row>
    <row r="26">
      <c r="B26" s="96"/>
    </row>
    <row r="27">
      <c r="B27" s="96"/>
    </row>
    <row r="28">
      <c r="B28" s="96"/>
    </row>
    <row r="29">
      <c r="B29" s="96"/>
    </row>
    <row r="30">
      <c r="B30" s="96"/>
    </row>
    <row r="31">
      <c r="B31" s="96"/>
    </row>
    <row r="32">
      <c r="B32" s="96"/>
    </row>
    <row r="33">
      <c r="B33" s="96"/>
    </row>
    <row r="34">
      <c r="B34" s="96"/>
    </row>
    <row r="35">
      <c r="B35" s="96"/>
    </row>
    <row r="36">
      <c r="B36" s="96"/>
    </row>
    <row r="37">
      <c r="B37" s="96"/>
    </row>
    <row r="38">
      <c r="B38" s="96"/>
    </row>
    <row r="39">
      <c r="B39" s="96"/>
    </row>
    <row r="40">
      <c r="B40" s="96"/>
    </row>
    <row r="41">
      <c r="B41" s="96"/>
    </row>
    <row r="42">
      <c r="B42" s="96"/>
    </row>
    <row r="43">
      <c r="B43" s="96"/>
    </row>
    <row r="44">
      <c r="B44" s="96"/>
    </row>
    <row r="45">
      <c r="B45" s="96"/>
    </row>
    <row r="46">
      <c r="B46" s="96"/>
    </row>
    <row r="47">
      <c r="B47" s="96"/>
    </row>
    <row r="48">
      <c r="B48" s="96"/>
    </row>
    <row r="49">
      <c r="B49" s="96"/>
    </row>
    <row r="50">
      <c r="B50" s="96"/>
    </row>
    <row r="51">
      <c r="B51" s="96"/>
    </row>
    <row r="52">
      <c r="B52" s="96"/>
    </row>
    <row r="53">
      <c r="B53" s="96"/>
    </row>
    <row r="54">
      <c r="B54" s="96"/>
    </row>
    <row r="55">
      <c r="B55" s="96"/>
    </row>
    <row r="56">
      <c r="B56" s="96"/>
    </row>
    <row r="57">
      <c r="B57" s="96"/>
    </row>
    <row r="58">
      <c r="B58" s="96"/>
    </row>
    <row r="59">
      <c r="B59" s="96"/>
    </row>
    <row r="60">
      <c r="B60" s="96"/>
    </row>
    <row r="61">
      <c r="B61" s="96"/>
    </row>
    <row r="62">
      <c r="B62" s="96"/>
    </row>
    <row r="63">
      <c r="B63" s="96"/>
    </row>
    <row r="64">
      <c r="B64" s="96"/>
    </row>
    <row r="65">
      <c r="B65" s="96"/>
    </row>
    <row r="66">
      <c r="B66" s="96"/>
    </row>
    <row r="67">
      <c r="B67" s="96"/>
    </row>
    <row r="68">
      <c r="B68" s="96"/>
    </row>
    <row r="69">
      <c r="B69" s="96"/>
    </row>
    <row r="70">
      <c r="B70" s="96"/>
    </row>
    <row r="71">
      <c r="B71" s="96"/>
    </row>
    <row r="72">
      <c r="B72" s="96"/>
    </row>
    <row r="73">
      <c r="B73" s="96"/>
    </row>
    <row r="74">
      <c r="B74" s="96"/>
    </row>
    <row r="75">
      <c r="B75" s="96"/>
    </row>
    <row r="76">
      <c r="B76" s="96"/>
    </row>
    <row r="77">
      <c r="B77" s="96"/>
    </row>
    <row r="78">
      <c r="B78" s="96"/>
    </row>
    <row r="79">
      <c r="B79" s="96"/>
    </row>
    <row r="80">
      <c r="B80" s="96"/>
    </row>
    <row r="81">
      <c r="B81" s="96"/>
    </row>
    <row r="82">
      <c r="B82" s="96"/>
    </row>
    <row r="83">
      <c r="B83" s="96"/>
    </row>
    <row r="84">
      <c r="B84" s="96"/>
    </row>
    <row r="85">
      <c r="B85" s="96"/>
    </row>
    <row r="86">
      <c r="B86" s="96"/>
    </row>
    <row r="87">
      <c r="B87" s="96"/>
    </row>
    <row r="88">
      <c r="B88" s="96"/>
    </row>
    <row r="89">
      <c r="B89" s="96"/>
    </row>
    <row r="90">
      <c r="B90" s="96"/>
    </row>
    <row r="91">
      <c r="B91" s="96"/>
    </row>
    <row r="92">
      <c r="B92" s="96"/>
    </row>
    <row r="93">
      <c r="B93" s="96"/>
    </row>
    <row r="94">
      <c r="B94" s="96"/>
    </row>
    <row r="95">
      <c r="B95" s="96"/>
    </row>
    <row r="96">
      <c r="B96" s="96"/>
    </row>
    <row r="97">
      <c r="B97" s="96"/>
    </row>
    <row r="98">
      <c r="B98" s="96"/>
    </row>
    <row r="99">
      <c r="B99" s="96"/>
    </row>
    <row r="100">
      <c r="B100" s="96"/>
    </row>
    <row r="101">
      <c r="B101" s="96"/>
    </row>
    <row r="102">
      <c r="B102" s="96"/>
    </row>
    <row r="103">
      <c r="B103" s="96"/>
    </row>
    <row r="104">
      <c r="B104" s="96"/>
    </row>
    <row r="105">
      <c r="B105" s="96"/>
    </row>
    <row r="106">
      <c r="B106" s="96"/>
    </row>
    <row r="107">
      <c r="B107" s="96"/>
    </row>
    <row r="108">
      <c r="B108" s="96"/>
    </row>
    <row r="109">
      <c r="B109" s="96"/>
    </row>
    <row r="110">
      <c r="B110" s="96"/>
    </row>
    <row r="111">
      <c r="B111" s="96"/>
    </row>
    <row r="112">
      <c r="B112" s="96"/>
    </row>
    <row r="113">
      <c r="B113" s="96"/>
    </row>
    <row r="114">
      <c r="B114" s="96"/>
    </row>
    <row r="115">
      <c r="B115" s="96"/>
    </row>
    <row r="116">
      <c r="B116" s="96"/>
    </row>
    <row r="117">
      <c r="B117" s="96"/>
    </row>
    <row r="118">
      <c r="B118" s="96"/>
    </row>
    <row r="119">
      <c r="B119" s="96"/>
    </row>
    <row r="120">
      <c r="B120" s="96"/>
    </row>
    <row r="121">
      <c r="B121" s="96"/>
    </row>
    <row r="122">
      <c r="B122" s="96"/>
    </row>
    <row r="123">
      <c r="B123" s="96"/>
    </row>
    <row r="124">
      <c r="B124" s="96"/>
    </row>
    <row r="125">
      <c r="B125" s="96"/>
    </row>
    <row r="126">
      <c r="B126" s="96"/>
    </row>
    <row r="127">
      <c r="B127" s="96"/>
    </row>
    <row r="128">
      <c r="B128" s="96"/>
    </row>
    <row r="129">
      <c r="B129" s="96"/>
    </row>
    <row r="130">
      <c r="B130" s="96"/>
    </row>
    <row r="131">
      <c r="B131" s="96"/>
    </row>
    <row r="132">
      <c r="B132" s="96"/>
    </row>
    <row r="133">
      <c r="B133" s="96"/>
    </row>
    <row r="134">
      <c r="B134" s="96"/>
    </row>
    <row r="135">
      <c r="B135" s="96"/>
    </row>
    <row r="136">
      <c r="B136" s="96"/>
    </row>
    <row r="137">
      <c r="B137" s="96"/>
    </row>
    <row r="138">
      <c r="B138" s="96"/>
    </row>
    <row r="139">
      <c r="B139" s="96"/>
    </row>
    <row r="140">
      <c r="B140" s="96"/>
    </row>
    <row r="141">
      <c r="B141" s="96"/>
    </row>
    <row r="142">
      <c r="B142" s="96"/>
    </row>
    <row r="143">
      <c r="B143" s="96"/>
    </row>
    <row r="144">
      <c r="B144" s="96"/>
    </row>
    <row r="145">
      <c r="B145" s="96"/>
    </row>
    <row r="146">
      <c r="B146" s="96"/>
    </row>
    <row r="147">
      <c r="B147" s="96"/>
    </row>
    <row r="148">
      <c r="B148" s="96"/>
    </row>
    <row r="149">
      <c r="B149" s="96"/>
    </row>
    <row r="150">
      <c r="B150" s="96"/>
    </row>
    <row r="151">
      <c r="B151" s="96"/>
    </row>
    <row r="152">
      <c r="B152" s="96"/>
    </row>
    <row r="153">
      <c r="B153" s="96"/>
    </row>
    <row r="154">
      <c r="B154" s="96"/>
    </row>
    <row r="155">
      <c r="B155" s="96"/>
    </row>
    <row r="156">
      <c r="B156" s="96"/>
    </row>
    <row r="157">
      <c r="B157" s="96"/>
    </row>
    <row r="158">
      <c r="B158" s="96"/>
    </row>
    <row r="159">
      <c r="B159" s="96"/>
    </row>
    <row r="160">
      <c r="B160" s="96"/>
    </row>
    <row r="161">
      <c r="B161" s="96"/>
    </row>
    <row r="162">
      <c r="B162" s="96"/>
    </row>
    <row r="163">
      <c r="B163" s="96"/>
    </row>
    <row r="164">
      <c r="B164" s="96"/>
    </row>
    <row r="165">
      <c r="B165" s="96"/>
    </row>
    <row r="166">
      <c r="B166" s="96"/>
    </row>
    <row r="167">
      <c r="B167" s="96"/>
    </row>
    <row r="168">
      <c r="B168" s="96"/>
    </row>
    <row r="169">
      <c r="B169" s="96"/>
    </row>
    <row r="170">
      <c r="B170" s="96"/>
    </row>
    <row r="171">
      <c r="B171" s="96"/>
    </row>
    <row r="172">
      <c r="B172" s="96"/>
    </row>
    <row r="173">
      <c r="B173" s="96"/>
    </row>
    <row r="174">
      <c r="B174" s="96"/>
    </row>
    <row r="175">
      <c r="B175" s="96"/>
    </row>
    <row r="176">
      <c r="B176" s="96"/>
    </row>
    <row r="177">
      <c r="B177" s="96"/>
    </row>
    <row r="178">
      <c r="B178" s="96"/>
    </row>
    <row r="179">
      <c r="B179" s="96"/>
    </row>
    <row r="180">
      <c r="B180" s="96"/>
    </row>
    <row r="181">
      <c r="B181" s="96"/>
    </row>
    <row r="182">
      <c r="B182" s="96"/>
    </row>
    <row r="183">
      <c r="B183" s="96"/>
    </row>
    <row r="184">
      <c r="B184" s="96"/>
    </row>
    <row r="185">
      <c r="B185" s="96"/>
    </row>
    <row r="186">
      <c r="B186" s="96"/>
    </row>
    <row r="187">
      <c r="B187" s="96"/>
    </row>
    <row r="188">
      <c r="B188" s="96"/>
    </row>
    <row r="189">
      <c r="B189" s="96"/>
    </row>
    <row r="190">
      <c r="B190" s="96"/>
    </row>
    <row r="191">
      <c r="B191" s="96"/>
    </row>
    <row r="192">
      <c r="B192" s="96"/>
    </row>
    <row r="193">
      <c r="B193" s="96"/>
    </row>
    <row r="194">
      <c r="B194" s="96"/>
    </row>
    <row r="195">
      <c r="B195" s="96"/>
    </row>
    <row r="196">
      <c r="B196" s="96"/>
    </row>
    <row r="197">
      <c r="B197" s="96"/>
    </row>
    <row r="198">
      <c r="B198" s="96"/>
    </row>
    <row r="199">
      <c r="B199" s="96"/>
    </row>
    <row r="200">
      <c r="B200" s="96"/>
    </row>
    <row r="201">
      <c r="B201" s="96"/>
    </row>
    <row r="202">
      <c r="B202" s="96"/>
    </row>
    <row r="203">
      <c r="B203" s="96"/>
    </row>
    <row r="204">
      <c r="B204" s="96"/>
    </row>
    <row r="205">
      <c r="B205" s="96"/>
    </row>
    <row r="206">
      <c r="B206" s="96"/>
    </row>
    <row r="207">
      <c r="B207" s="96"/>
    </row>
    <row r="208">
      <c r="B208" s="96"/>
    </row>
    <row r="209">
      <c r="B209" s="96"/>
    </row>
    <row r="210">
      <c r="B210" s="96"/>
    </row>
    <row r="211">
      <c r="B211" s="96"/>
    </row>
    <row r="212">
      <c r="B212" s="96"/>
    </row>
    <row r="213">
      <c r="B213" s="96"/>
    </row>
    <row r="214">
      <c r="B214" s="96"/>
    </row>
    <row r="215">
      <c r="B215" s="96"/>
    </row>
    <row r="216">
      <c r="B216" s="96"/>
    </row>
    <row r="217">
      <c r="B217" s="96"/>
    </row>
    <row r="218">
      <c r="B218" s="96"/>
    </row>
    <row r="219">
      <c r="B219" s="96"/>
    </row>
    <row r="220">
      <c r="B220" s="96"/>
    </row>
    <row r="221">
      <c r="B221" s="96"/>
    </row>
    <row r="222">
      <c r="B222" s="96"/>
    </row>
    <row r="223">
      <c r="B223" s="96"/>
    </row>
    <row r="224">
      <c r="B224" s="96"/>
    </row>
    <row r="225">
      <c r="B225" s="96"/>
    </row>
    <row r="226">
      <c r="B226" s="96"/>
    </row>
    <row r="227">
      <c r="B227" s="96"/>
    </row>
    <row r="228">
      <c r="B228" s="96"/>
    </row>
    <row r="229">
      <c r="B229" s="96"/>
    </row>
    <row r="230">
      <c r="B230" s="96"/>
    </row>
    <row r="231">
      <c r="B231" s="96"/>
    </row>
    <row r="232">
      <c r="B232" s="96"/>
    </row>
    <row r="233">
      <c r="B233" s="96"/>
    </row>
    <row r="234">
      <c r="B234" s="96"/>
    </row>
    <row r="235">
      <c r="B235" s="96"/>
    </row>
    <row r="236">
      <c r="B236" s="96"/>
    </row>
    <row r="237">
      <c r="B237" s="96"/>
    </row>
    <row r="238">
      <c r="B238" s="96"/>
    </row>
    <row r="239">
      <c r="B239" s="96"/>
    </row>
    <row r="240">
      <c r="B240" s="96"/>
    </row>
    <row r="241">
      <c r="B241" s="96"/>
    </row>
    <row r="242">
      <c r="B242" s="96"/>
    </row>
    <row r="243">
      <c r="B243" s="96"/>
    </row>
    <row r="244">
      <c r="B244" s="96"/>
    </row>
    <row r="245">
      <c r="B245" s="96"/>
    </row>
    <row r="246">
      <c r="B246" s="96"/>
    </row>
    <row r="247">
      <c r="B247" s="96"/>
    </row>
    <row r="248">
      <c r="B248" s="96"/>
    </row>
    <row r="249">
      <c r="B249" s="96"/>
    </row>
    <row r="250">
      <c r="B250" s="96"/>
    </row>
    <row r="251">
      <c r="B251" s="96"/>
    </row>
    <row r="252">
      <c r="B252" s="96"/>
    </row>
    <row r="253">
      <c r="B253" s="96"/>
    </row>
    <row r="254">
      <c r="B254" s="96"/>
    </row>
    <row r="255">
      <c r="B255" s="96"/>
    </row>
    <row r="256">
      <c r="B256" s="96"/>
    </row>
    <row r="257">
      <c r="B257" s="96"/>
    </row>
    <row r="258">
      <c r="B258" s="96"/>
    </row>
    <row r="259">
      <c r="B259" s="96"/>
    </row>
    <row r="260">
      <c r="B260" s="96"/>
    </row>
    <row r="261">
      <c r="B261" s="96"/>
    </row>
    <row r="262">
      <c r="B262" s="96"/>
    </row>
    <row r="263">
      <c r="B263" s="96"/>
    </row>
    <row r="264">
      <c r="B264" s="96"/>
    </row>
    <row r="265">
      <c r="B265" s="96"/>
    </row>
    <row r="266">
      <c r="B266" s="96"/>
    </row>
    <row r="267">
      <c r="B267" s="96"/>
    </row>
    <row r="268">
      <c r="B268" s="96"/>
    </row>
    <row r="269">
      <c r="B269" s="96"/>
    </row>
    <row r="270">
      <c r="B270" s="96"/>
    </row>
    <row r="271">
      <c r="B271" s="96"/>
    </row>
    <row r="272">
      <c r="B272" s="96"/>
    </row>
    <row r="273">
      <c r="B273" s="96"/>
    </row>
    <row r="274">
      <c r="B274" s="96"/>
    </row>
    <row r="275">
      <c r="B275" s="96"/>
    </row>
    <row r="276">
      <c r="B276" s="96"/>
    </row>
    <row r="277">
      <c r="B277" s="96"/>
    </row>
    <row r="278">
      <c r="B278" s="96"/>
    </row>
    <row r="279">
      <c r="B279" s="96"/>
    </row>
    <row r="280">
      <c r="B280" s="96"/>
    </row>
    <row r="281">
      <c r="B281" s="96"/>
    </row>
    <row r="282">
      <c r="B282" s="96"/>
    </row>
    <row r="283">
      <c r="B283" s="96"/>
    </row>
    <row r="284">
      <c r="B284" s="96"/>
    </row>
    <row r="285">
      <c r="B285" s="96"/>
    </row>
    <row r="286">
      <c r="B286" s="96"/>
    </row>
    <row r="287">
      <c r="B287" s="96"/>
    </row>
    <row r="288">
      <c r="B288" s="96"/>
    </row>
    <row r="289">
      <c r="B289" s="96"/>
    </row>
    <row r="290">
      <c r="B290" s="96"/>
    </row>
    <row r="291">
      <c r="B291" s="96"/>
    </row>
    <row r="292">
      <c r="B292" s="96"/>
    </row>
    <row r="293">
      <c r="B293" s="96"/>
    </row>
    <row r="294">
      <c r="B294" s="96"/>
    </row>
    <row r="295">
      <c r="B295" s="96"/>
    </row>
    <row r="296">
      <c r="B296" s="96"/>
    </row>
    <row r="297">
      <c r="B297" s="96"/>
    </row>
    <row r="298">
      <c r="B298" s="96"/>
    </row>
    <row r="299">
      <c r="B299" s="96"/>
    </row>
    <row r="300">
      <c r="B300" s="96"/>
    </row>
    <row r="301">
      <c r="B301" s="96"/>
    </row>
    <row r="302">
      <c r="B302" s="96"/>
    </row>
    <row r="303">
      <c r="B303" s="96"/>
    </row>
    <row r="304">
      <c r="B304" s="96"/>
    </row>
    <row r="305">
      <c r="B305" s="96"/>
    </row>
    <row r="306">
      <c r="B306" s="96"/>
    </row>
    <row r="307">
      <c r="B307" s="96"/>
    </row>
    <row r="308">
      <c r="B308" s="96"/>
    </row>
    <row r="309">
      <c r="B309" s="96"/>
    </row>
    <row r="310">
      <c r="B310" s="96"/>
    </row>
    <row r="311">
      <c r="B311" s="96"/>
    </row>
    <row r="312">
      <c r="B312" s="96"/>
    </row>
    <row r="313">
      <c r="B313" s="96"/>
    </row>
    <row r="314">
      <c r="B314" s="96"/>
    </row>
    <row r="315">
      <c r="B315" s="96"/>
    </row>
    <row r="316">
      <c r="B316" s="96"/>
    </row>
    <row r="317">
      <c r="B317" s="96"/>
    </row>
    <row r="318">
      <c r="B318" s="96"/>
    </row>
    <row r="319">
      <c r="B319" s="96"/>
    </row>
    <row r="320">
      <c r="B320" s="96"/>
    </row>
    <row r="321">
      <c r="B321" s="96"/>
    </row>
    <row r="322">
      <c r="B322" s="96"/>
    </row>
    <row r="323">
      <c r="B323" s="96"/>
    </row>
    <row r="324">
      <c r="B324" s="96"/>
    </row>
    <row r="325">
      <c r="B325" s="96"/>
    </row>
    <row r="326">
      <c r="B326" s="96"/>
    </row>
    <row r="327">
      <c r="B327" s="96"/>
    </row>
    <row r="328">
      <c r="B328" s="96"/>
    </row>
    <row r="329">
      <c r="B329" s="96"/>
    </row>
    <row r="330">
      <c r="B330" s="96"/>
    </row>
    <row r="331">
      <c r="B331" s="96"/>
    </row>
    <row r="332">
      <c r="B332" s="96"/>
    </row>
    <row r="333">
      <c r="B333" s="96"/>
    </row>
    <row r="334">
      <c r="B334" s="96"/>
    </row>
    <row r="335">
      <c r="B335" s="96"/>
    </row>
    <row r="336">
      <c r="B336" s="96"/>
    </row>
    <row r="337">
      <c r="B337" s="96"/>
    </row>
    <row r="338">
      <c r="B338" s="96"/>
    </row>
    <row r="339">
      <c r="B339" s="96"/>
    </row>
    <row r="340">
      <c r="B340" s="96"/>
    </row>
    <row r="341">
      <c r="B341" s="96"/>
    </row>
    <row r="342">
      <c r="B342" s="96"/>
    </row>
    <row r="343">
      <c r="B343" s="96"/>
    </row>
    <row r="344">
      <c r="B344" s="96"/>
    </row>
    <row r="345">
      <c r="B345" s="96"/>
    </row>
    <row r="346">
      <c r="B346" s="96"/>
    </row>
    <row r="347">
      <c r="B347" s="96"/>
    </row>
    <row r="348">
      <c r="B348" s="96"/>
    </row>
    <row r="349">
      <c r="B349" s="96"/>
    </row>
    <row r="350">
      <c r="B350" s="96"/>
    </row>
    <row r="351">
      <c r="B351" s="96"/>
    </row>
    <row r="352">
      <c r="B352" s="96"/>
    </row>
    <row r="353">
      <c r="B353" s="96"/>
    </row>
    <row r="354">
      <c r="B354" s="96"/>
    </row>
    <row r="355">
      <c r="B355" s="96"/>
    </row>
    <row r="356">
      <c r="B356" s="96"/>
    </row>
    <row r="357">
      <c r="B357" s="96"/>
    </row>
    <row r="358">
      <c r="B358" s="96"/>
    </row>
    <row r="359">
      <c r="B359" s="96"/>
    </row>
    <row r="360">
      <c r="B360" s="96"/>
    </row>
    <row r="361">
      <c r="B361" s="96"/>
    </row>
    <row r="362">
      <c r="B362" s="96"/>
    </row>
    <row r="363">
      <c r="B363" s="96"/>
    </row>
    <row r="364">
      <c r="B364" s="96"/>
    </row>
    <row r="365">
      <c r="B365" s="96"/>
    </row>
    <row r="366">
      <c r="B366" s="96"/>
    </row>
    <row r="367">
      <c r="B367" s="96"/>
    </row>
    <row r="368">
      <c r="B368" s="96"/>
    </row>
    <row r="369">
      <c r="B369" s="96"/>
    </row>
    <row r="370">
      <c r="B370" s="96"/>
    </row>
    <row r="371">
      <c r="B371" s="96"/>
    </row>
    <row r="372">
      <c r="B372" s="96"/>
    </row>
    <row r="373">
      <c r="B373" s="96"/>
    </row>
    <row r="374">
      <c r="B374" s="96"/>
    </row>
    <row r="375">
      <c r="B375" s="96"/>
    </row>
    <row r="376">
      <c r="B376" s="96"/>
    </row>
    <row r="377">
      <c r="B377" s="96"/>
    </row>
    <row r="378">
      <c r="B378" s="96"/>
    </row>
    <row r="379">
      <c r="B379" s="96"/>
    </row>
    <row r="380">
      <c r="B380" s="96"/>
    </row>
    <row r="381">
      <c r="B381" s="96"/>
    </row>
    <row r="382">
      <c r="B382" s="96"/>
    </row>
    <row r="383">
      <c r="B383" s="96"/>
    </row>
    <row r="384">
      <c r="B384" s="96"/>
    </row>
    <row r="385">
      <c r="B385" s="96"/>
    </row>
    <row r="386">
      <c r="B386" s="96"/>
    </row>
    <row r="387">
      <c r="B387" s="96"/>
    </row>
    <row r="388">
      <c r="B388" s="96"/>
    </row>
    <row r="389">
      <c r="B389" s="96"/>
    </row>
    <row r="390">
      <c r="B390" s="96"/>
    </row>
    <row r="391">
      <c r="B391" s="96"/>
    </row>
    <row r="392">
      <c r="B392" s="96"/>
    </row>
    <row r="393">
      <c r="B393" s="96"/>
    </row>
    <row r="394">
      <c r="B394" s="96"/>
    </row>
    <row r="395">
      <c r="B395" s="96"/>
    </row>
    <row r="396">
      <c r="B396" s="96"/>
    </row>
    <row r="397">
      <c r="B397" s="96"/>
    </row>
    <row r="398">
      <c r="B398" s="96"/>
    </row>
    <row r="399">
      <c r="B399" s="96"/>
    </row>
    <row r="400">
      <c r="B400" s="96"/>
    </row>
    <row r="401">
      <c r="B401" s="96"/>
    </row>
    <row r="402">
      <c r="B402" s="96"/>
    </row>
    <row r="403">
      <c r="B403" s="96"/>
    </row>
    <row r="404">
      <c r="B404" s="96"/>
    </row>
    <row r="405">
      <c r="B405" s="96"/>
    </row>
    <row r="406">
      <c r="B406" s="96"/>
    </row>
    <row r="407">
      <c r="B407" s="96"/>
    </row>
    <row r="408">
      <c r="B408" s="96"/>
    </row>
    <row r="409">
      <c r="B409" s="96"/>
    </row>
    <row r="410">
      <c r="B410" s="96"/>
    </row>
    <row r="411">
      <c r="B411" s="96"/>
    </row>
    <row r="412">
      <c r="B412" s="96"/>
    </row>
    <row r="413">
      <c r="B413" s="96"/>
    </row>
    <row r="414">
      <c r="B414" s="96"/>
    </row>
    <row r="415">
      <c r="B415" s="96"/>
    </row>
    <row r="416">
      <c r="B416" s="96"/>
    </row>
    <row r="417">
      <c r="B417" s="96"/>
    </row>
    <row r="418">
      <c r="B418" s="96"/>
    </row>
    <row r="419">
      <c r="B419" s="96"/>
    </row>
    <row r="420">
      <c r="B420" s="96"/>
    </row>
    <row r="421">
      <c r="B421" s="96"/>
    </row>
    <row r="422">
      <c r="B422" s="96"/>
    </row>
    <row r="423">
      <c r="B423" s="96"/>
    </row>
    <row r="424">
      <c r="B424" s="96"/>
    </row>
    <row r="425">
      <c r="B425" s="96"/>
    </row>
    <row r="426">
      <c r="B426" s="96"/>
    </row>
    <row r="427">
      <c r="B427" s="96"/>
    </row>
    <row r="428">
      <c r="B428" s="96"/>
    </row>
    <row r="429">
      <c r="B429" s="96"/>
    </row>
    <row r="430">
      <c r="B430" s="96"/>
    </row>
    <row r="431">
      <c r="B431" s="96"/>
    </row>
    <row r="432">
      <c r="B432" s="96"/>
    </row>
    <row r="433">
      <c r="B433" s="96"/>
    </row>
    <row r="434">
      <c r="B434" s="96"/>
    </row>
    <row r="435">
      <c r="B435" s="96"/>
    </row>
    <row r="436">
      <c r="B436" s="96"/>
    </row>
    <row r="437">
      <c r="B437" s="96"/>
    </row>
    <row r="438">
      <c r="B438" s="96"/>
    </row>
    <row r="439">
      <c r="B439" s="96"/>
    </row>
    <row r="440">
      <c r="B440" s="96"/>
    </row>
    <row r="441">
      <c r="B441" s="96"/>
    </row>
    <row r="442">
      <c r="B442" s="96"/>
    </row>
    <row r="443">
      <c r="B443" s="96"/>
    </row>
    <row r="444">
      <c r="B444" s="96"/>
    </row>
    <row r="445">
      <c r="B445" s="96"/>
    </row>
    <row r="446">
      <c r="B446" s="96"/>
    </row>
    <row r="447">
      <c r="B447" s="96"/>
    </row>
    <row r="448">
      <c r="B448" s="96"/>
    </row>
    <row r="449">
      <c r="B449" s="96"/>
    </row>
    <row r="450">
      <c r="B450" s="96"/>
    </row>
    <row r="451">
      <c r="B451" s="96"/>
    </row>
    <row r="452">
      <c r="B452" s="96"/>
    </row>
    <row r="453">
      <c r="B453" s="96"/>
    </row>
    <row r="454">
      <c r="B454" s="96"/>
    </row>
    <row r="455">
      <c r="B455" s="96"/>
    </row>
    <row r="456">
      <c r="B456" s="96"/>
    </row>
    <row r="457">
      <c r="B457" s="96"/>
    </row>
    <row r="458">
      <c r="B458" s="96"/>
    </row>
    <row r="459">
      <c r="B459" s="96"/>
    </row>
    <row r="460">
      <c r="B460" s="96"/>
    </row>
    <row r="461">
      <c r="B461" s="96"/>
    </row>
    <row r="462">
      <c r="B462" s="96"/>
    </row>
    <row r="463">
      <c r="B463" s="96"/>
    </row>
    <row r="464">
      <c r="B464" s="96"/>
    </row>
    <row r="465">
      <c r="B465" s="96"/>
    </row>
    <row r="466">
      <c r="B466" s="96"/>
    </row>
    <row r="467">
      <c r="B467" s="96"/>
    </row>
    <row r="468">
      <c r="B468" s="96"/>
    </row>
    <row r="469">
      <c r="B469" s="96"/>
    </row>
    <row r="470">
      <c r="B470" s="96"/>
    </row>
    <row r="471">
      <c r="B471" s="96"/>
    </row>
    <row r="472">
      <c r="B472" s="96"/>
    </row>
    <row r="473">
      <c r="B473" s="96"/>
    </row>
    <row r="474">
      <c r="B474" s="96"/>
    </row>
    <row r="475">
      <c r="B475" s="96"/>
    </row>
    <row r="476">
      <c r="B476" s="96"/>
    </row>
    <row r="477">
      <c r="B477" s="96"/>
    </row>
    <row r="478">
      <c r="B478" s="96"/>
    </row>
    <row r="479">
      <c r="B479" s="96"/>
    </row>
    <row r="480">
      <c r="B480" s="96"/>
    </row>
    <row r="481">
      <c r="B481" s="96"/>
    </row>
    <row r="482">
      <c r="B482" s="96"/>
    </row>
    <row r="483">
      <c r="B483" s="96"/>
    </row>
    <row r="484">
      <c r="B484" s="96"/>
    </row>
    <row r="485">
      <c r="B485" s="96"/>
    </row>
    <row r="486">
      <c r="B486" s="96"/>
    </row>
    <row r="487">
      <c r="B487" s="96"/>
    </row>
    <row r="488">
      <c r="B488" s="96"/>
    </row>
    <row r="489">
      <c r="B489" s="96"/>
    </row>
    <row r="490">
      <c r="B490" s="96"/>
    </row>
    <row r="491">
      <c r="B491" s="96"/>
    </row>
    <row r="492">
      <c r="B492" s="96"/>
    </row>
    <row r="493">
      <c r="B493" s="96"/>
    </row>
    <row r="494">
      <c r="B494" s="96"/>
    </row>
    <row r="495">
      <c r="B495" s="96"/>
    </row>
    <row r="496">
      <c r="B496" s="96"/>
    </row>
    <row r="497">
      <c r="B497" s="96"/>
    </row>
    <row r="498">
      <c r="B498" s="96"/>
    </row>
    <row r="499">
      <c r="B499" s="96"/>
    </row>
    <row r="500">
      <c r="B500" s="96"/>
    </row>
    <row r="501">
      <c r="B501" s="96"/>
    </row>
    <row r="502">
      <c r="B502" s="96"/>
    </row>
    <row r="503">
      <c r="B503" s="96"/>
    </row>
    <row r="504">
      <c r="B504" s="96"/>
    </row>
    <row r="505">
      <c r="B505" s="96"/>
    </row>
    <row r="506">
      <c r="B506" s="96"/>
    </row>
    <row r="507">
      <c r="B507" s="96"/>
    </row>
    <row r="508">
      <c r="B508" s="96"/>
    </row>
    <row r="509">
      <c r="B509" s="96"/>
    </row>
    <row r="510">
      <c r="B510" s="96"/>
    </row>
    <row r="511">
      <c r="B511" s="96"/>
    </row>
    <row r="512">
      <c r="B512" s="96"/>
    </row>
    <row r="513">
      <c r="B513" s="96"/>
    </row>
    <row r="514">
      <c r="B514" s="96"/>
    </row>
    <row r="515">
      <c r="B515" s="96"/>
    </row>
    <row r="516">
      <c r="B516" s="96"/>
    </row>
    <row r="517">
      <c r="B517" s="96"/>
    </row>
    <row r="518">
      <c r="B518" s="96"/>
    </row>
    <row r="519">
      <c r="B519" s="96"/>
    </row>
    <row r="520">
      <c r="B520" s="96"/>
    </row>
    <row r="521">
      <c r="B521" s="96"/>
    </row>
    <row r="522">
      <c r="B522" s="96"/>
    </row>
    <row r="523">
      <c r="B523" s="96"/>
    </row>
    <row r="524">
      <c r="B524" s="96"/>
    </row>
    <row r="525">
      <c r="B525" s="96"/>
    </row>
    <row r="526">
      <c r="B526" s="96"/>
    </row>
    <row r="527">
      <c r="B527" s="96"/>
    </row>
    <row r="528">
      <c r="B528" s="96"/>
    </row>
    <row r="529">
      <c r="B529" s="96"/>
    </row>
    <row r="530">
      <c r="B530" s="96"/>
    </row>
    <row r="531">
      <c r="B531" s="96"/>
    </row>
    <row r="532">
      <c r="B532" s="96"/>
    </row>
    <row r="533">
      <c r="B533" s="96"/>
    </row>
    <row r="534">
      <c r="B534" s="96"/>
    </row>
    <row r="535">
      <c r="B535" s="96"/>
    </row>
    <row r="536">
      <c r="B536" s="96"/>
    </row>
    <row r="537">
      <c r="B537" s="96"/>
    </row>
    <row r="538">
      <c r="B538" s="96"/>
    </row>
    <row r="539">
      <c r="B539" s="96"/>
    </row>
    <row r="540">
      <c r="B540" s="96"/>
    </row>
    <row r="541">
      <c r="B541" s="96"/>
    </row>
    <row r="542">
      <c r="B542" s="96"/>
    </row>
    <row r="543">
      <c r="B543" s="96"/>
    </row>
    <row r="544">
      <c r="B544" s="96"/>
    </row>
    <row r="545">
      <c r="B545" s="96"/>
    </row>
    <row r="546">
      <c r="B546" s="96"/>
    </row>
    <row r="547">
      <c r="B547" s="96"/>
    </row>
    <row r="548">
      <c r="B548" s="96"/>
    </row>
    <row r="549">
      <c r="B549" s="96"/>
    </row>
    <row r="550">
      <c r="B550" s="96"/>
    </row>
    <row r="551">
      <c r="B551" s="96"/>
    </row>
    <row r="552">
      <c r="B552" s="96"/>
    </row>
    <row r="553">
      <c r="B553" s="96"/>
    </row>
    <row r="554">
      <c r="B554" s="96"/>
    </row>
    <row r="555">
      <c r="B555" s="96"/>
    </row>
    <row r="556">
      <c r="B556" s="96"/>
    </row>
    <row r="557">
      <c r="B557" s="96"/>
    </row>
    <row r="558">
      <c r="B558" s="96"/>
    </row>
    <row r="559">
      <c r="B559" s="96"/>
    </row>
    <row r="560">
      <c r="B560" s="96"/>
    </row>
    <row r="561">
      <c r="B561" s="96"/>
    </row>
    <row r="562">
      <c r="B562" s="96"/>
    </row>
    <row r="563">
      <c r="B563" s="96"/>
    </row>
    <row r="564">
      <c r="B564" s="96"/>
    </row>
    <row r="565">
      <c r="B565" s="96"/>
    </row>
    <row r="566">
      <c r="B566" s="96"/>
    </row>
    <row r="567">
      <c r="B567" s="96"/>
    </row>
    <row r="568">
      <c r="B568" s="96"/>
    </row>
    <row r="569">
      <c r="B569" s="96"/>
    </row>
    <row r="570">
      <c r="B570" s="96"/>
    </row>
    <row r="571">
      <c r="B571" s="96"/>
    </row>
    <row r="572">
      <c r="B572" s="96"/>
    </row>
    <row r="573">
      <c r="B573" s="96"/>
    </row>
    <row r="574">
      <c r="B574" s="96"/>
    </row>
    <row r="575">
      <c r="B575" s="96"/>
    </row>
    <row r="576">
      <c r="B576" s="96"/>
    </row>
    <row r="577">
      <c r="B577" s="96"/>
    </row>
    <row r="578">
      <c r="B578" s="96"/>
    </row>
    <row r="579">
      <c r="B579" s="96"/>
    </row>
    <row r="580">
      <c r="B580" s="96"/>
    </row>
    <row r="581">
      <c r="B581" s="96"/>
    </row>
    <row r="582">
      <c r="B582" s="96"/>
    </row>
    <row r="583">
      <c r="B583" s="96"/>
    </row>
    <row r="584">
      <c r="B584" s="96"/>
    </row>
    <row r="585">
      <c r="B585" s="96"/>
    </row>
    <row r="586">
      <c r="B586" s="96"/>
    </row>
    <row r="587">
      <c r="B587" s="96"/>
    </row>
    <row r="588">
      <c r="B588" s="96"/>
    </row>
    <row r="589">
      <c r="B589" s="96"/>
    </row>
    <row r="590">
      <c r="B590" s="96"/>
    </row>
    <row r="591">
      <c r="B591" s="96"/>
    </row>
    <row r="592">
      <c r="B592" s="96"/>
    </row>
    <row r="593">
      <c r="B593" s="96"/>
    </row>
    <row r="594">
      <c r="B594" s="96"/>
    </row>
    <row r="595">
      <c r="B595" s="96"/>
    </row>
    <row r="596">
      <c r="B596" s="96"/>
    </row>
    <row r="597">
      <c r="B597" s="96"/>
    </row>
    <row r="598">
      <c r="B598" s="96"/>
    </row>
    <row r="599">
      <c r="B599" s="96"/>
    </row>
    <row r="600">
      <c r="B600" s="96"/>
    </row>
    <row r="601">
      <c r="B601" s="96"/>
    </row>
    <row r="602">
      <c r="B602" s="96"/>
    </row>
    <row r="603">
      <c r="B603" s="96"/>
    </row>
    <row r="604">
      <c r="B604" s="96"/>
    </row>
    <row r="605">
      <c r="B605" s="96"/>
    </row>
    <row r="606">
      <c r="B606" s="96"/>
    </row>
    <row r="607">
      <c r="B607" s="96"/>
    </row>
    <row r="608">
      <c r="B608" s="96"/>
    </row>
    <row r="609">
      <c r="B609" s="96"/>
    </row>
    <row r="610">
      <c r="B610" s="96"/>
    </row>
    <row r="611">
      <c r="B611" s="96"/>
    </row>
    <row r="612">
      <c r="B612" s="96"/>
    </row>
    <row r="613">
      <c r="B613" s="96"/>
    </row>
    <row r="614">
      <c r="B614" s="96"/>
    </row>
    <row r="615">
      <c r="B615" s="96"/>
    </row>
    <row r="616">
      <c r="B616" s="96"/>
    </row>
    <row r="617">
      <c r="B617" s="96"/>
    </row>
    <row r="618">
      <c r="B618" s="96"/>
    </row>
    <row r="619">
      <c r="B619" s="96"/>
    </row>
    <row r="620">
      <c r="B620" s="96"/>
    </row>
    <row r="621">
      <c r="B621" s="96"/>
    </row>
    <row r="622">
      <c r="B622" s="96"/>
    </row>
    <row r="623">
      <c r="B623" s="96"/>
    </row>
    <row r="624">
      <c r="B624" s="96"/>
    </row>
    <row r="625">
      <c r="B625" s="96"/>
    </row>
    <row r="626">
      <c r="B626" s="96"/>
    </row>
    <row r="627">
      <c r="B627" s="96"/>
    </row>
    <row r="628">
      <c r="B628" s="96"/>
    </row>
    <row r="629">
      <c r="B629" s="96"/>
    </row>
    <row r="630">
      <c r="B630" s="96"/>
    </row>
    <row r="631">
      <c r="B631" s="96"/>
    </row>
    <row r="632">
      <c r="B632" s="96"/>
    </row>
    <row r="633">
      <c r="B633" s="96"/>
    </row>
    <row r="634">
      <c r="B634" s="96"/>
    </row>
    <row r="635">
      <c r="B635" s="96"/>
    </row>
    <row r="636">
      <c r="B636" s="96"/>
    </row>
    <row r="637">
      <c r="B637" s="96"/>
    </row>
    <row r="638">
      <c r="B638" s="96"/>
    </row>
    <row r="639">
      <c r="B639" s="96"/>
    </row>
    <row r="640">
      <c r="B640" s="96"/>
    </row>
    <row r="641">
      <c r="B641" s="96"/>
    </row>
    <row r="642">
      <c r="B642" s="96"/>
    </row>
    <row r="643">
      <c r="B643" s="96"/>
    </row>
    <row r="644">
      <c r="B644" s="96"/>
    </row>
    <row r="645">
      <c r="B645" s="96"/>
    </row>
    <row r="646">
      <c r="B646" s="96"/>
    </row>
    <row r="647">
      <c r="B647" s="96"/>
    </row>
    <row r="648">
      <c r="B648" s="96"/>
    </row>
    <row r="649">
      <c r="B649" s="96"/>
    </row>
    <row r="650">
      <c r="B650" s="96"/>
    </row>
    <row r="651">
      <c r="B651" s="96"/>
    </row>
    <row r="652">
      <c r="B652" s="96"/>
    </row>
    <row r="653">
      <c r="B653" s="96"/>
    </row>
    <row r="654">
      <c r="B654" s="96"/>
    </row>
    <row r="655">
      <c r="B655" s="96"/>
    </row>
    <row r="656">
      <c r="B656" s="96"/>
    </row>
    <row r="657">
      <c r="B657" s="96"/>
    </row>
    <row r="658">
      <c r="B658" s="96"/>
    </row>
    <row r="659">
      <c r="B659" s="96"/>
    </row>
    <row r="660">
      <c r="B660" s="96"/>
    </row>
    <row r="661">
      <c r="B661" s="96"/>
    </row>
    <row r="662">
      <c r="B662" s="96"/>
    </row>
    <row r="663">
      <c r="B663" s="96"/>
    </row>
    <row r="664">
      <c r="B664" s="96"/>
    </row>
    <row r="665">
      <c r="B665" s="96"/>
    </row>
    <row r="666">
      <c r="B666" s="96"/>
    </row>
    <row r="667">
      <c r="B667" s="96"/>
    </row>
    <row r="668">
      <c r="B668" s="96"/>
    </row>
    <row r="669">
      <c r="B669" s="96"/>
    </row>
    <row r="670">
      <c r="B670" s="96"/>
    </row>
    <row r="671">
      <c r="B671" s="96"/>
    </row>
    <row r="672">
      <c r="B672" s="96"/>
    </row>
    <row r="673">
      <c r="B673" s="96"/>
    </row>
    <row r="674">
      <c r="B674" s="96"/>
    </row>
    <row r="675">
      <c r="B675" s="96"/>
    </row>
    <row r="676">
      <c r="B676" s="96"/>
    </row>
    <row r="677">
      <c r="B677" s="96"/>
    </row>
    <row r="678">
      <c r="B678" s="96"/>
    </row>
    <row r="679">
      <c r="B679" s="96"/>
    </row>
    <row r="680">
      <c r="B680" s="96"/>
    </row>
    <row r="681">
      <c r="B681" s="96"/>
    </row>
    <row r="682">
      <c r="B682" s="96"/>
    </row>
    <row r="683">
      <c r="B683" s="96"/>
    </row>
    <row r="684">
      <c r="B684" s="96"/>
    </row>
    <row r="685">
      <c r="B685" s="96"/>
    </row>
    <row r="686">
      <c r="B686" s="96"/>
    </row>
    <row r="687">
      <c r="B687" s="96"/>
    </row>
    <row r="688">
      <c r="B688" s="96"/>
    </row>
    <row r="689">
      <c r="B689" s="96"/>
    </row>
    <row r="690">
      <c r="B690" s="96"/>
    </row>
    <row r="691">
      <c r="B691" s="96"/>
    </row>
    <row r="692">
      <c r="B692" s="96"/>
    </row>
    <row r="693">
      <c r="B693" s="96"/>
    </row>
    <row r="694">
      <c r="B694" s="96"/>
    </row>
    <row r="695">
      <c r="B695" s="96"/>
    </row>
    <row r="696">
      <c r="B696" s="96"/>
    </row>
    <row r="697">
      <c r="B697" s="96"/>
    </row>
    <row r="698">
      <c r="B698" s="96"/>
    </row>
    <row r="699">
      <c r="B699" s="96"/>
    </row>
    <row r="700">
      <c r="B700" s="96"/>
    </row>
    <row r="701">
      <c r="B701" s="96"/>
    </row>
    <row r="702">
      <c r="B702" s="96"/>
    </row>
    <row r="703">
      <c r="B703" s="96"/>
    </row>
    <row r="704">
      <c r="B704" s="96"/>
    </row>
    <row r="705">
      <c r="B705" s="96"/>
    </row>
    <row r="706">
      <c r="B706" s="96"/>
    </row>
    <row r="707">
      <c r="B707" s="96"/>
    </row>
    <row r="708">
      <c r="B708" s="96"/>
    </row>
    <row r="709">
      <c r="B709" s="96"/>
    </row>
    <row r="710">
      <c r="B710" s="96"/>
    </row>
    <row r="711">
      <c r="B711" s="96"/>
    </row>
    <row r="712">
      <c r="B712" s="96"/>
    </row>
    <row r="713">
      <c r="B713" s="96"/>
    </row>
    <row r="714">
      <c r="B714" s="96"/>
    </row>
    <row r="715">
      <c r="B715" s="96"/>
    </row>
    <row r="716">
      <c r="B716" s="96"/>
    </row>
    <row r="717">
      <c r="B717" s="96"/>
    </row>
    <row r="718">
      <c r="B718" s="96"/>
    </row>
    <row r="719">
      <c r="B719" s="96"/>
    </row>
    <row r="720">
      <c r="B720" s="96"/>
    </row>
    <row r="721">
      <c r="B721" s="96"/>
    </row>
    <row r="722">
      <c r="B722" s="96"/>
    </row>
    <row r="723">
      <c r="B723" s="96"/>
    </row>
    <row r="724">
      <c r="B724" s="96"/>
    </row>
    <row r="725">
      <c r="B725" s="96"/>
    </row>
    <row r="726">
      <c r="B726" s="96"/>
    </row>
    <row r="727">
      <c r="B727" s="96"/>
    </row>
    <row r="728">
      <c r="B728" s="96"/>
    </row>
    <row r="729">
      <c r="B729" s="96"/>
    </row>
    <row r="730">
      <c r="B730" s="96"/>
    </row>
    <row r="731">
      <c r="B731" s="96"/>
    </row>
    <row r="732">
      <c r="B732" s="96"/>
    </row>
    <row r="733">
      <c r="B733" s="96"/>
    </row>
    <row r="734">
      <c r="B734" s="96"/>
    </row>
    <row r="735">
      <c r="B735" s="96"/>
    </row>
    <row r="736">
      <c r="B736" s="96"/>
    </row>
    <row r="737">
      <c r="B737" s="96"/>
    </row>
    <row r="738">
      <c r="B738" s="96"/>
    </row>
    <row r="739">
      <c r="B739" s="96"/>
    </row>
    <row r="740">
      <c r="B740" s="96"/>
    </row>
    <row r="741">
      <c r="B741" s="96"/>
    </row>
    <row r="742">
      <c r="B742" s="96"/>
    </row>
    <row r="743">
      <c r="B743" s="96"/>
    </row>
    <row r="744">
      <c r="B744" s="96"/>
    </row>
    <row r="745">
      <c r="B745" s="96"/>
    </row>
    <row r="746">
      <c r="B746" s="96"/>
    </row>
    <row r="747">
      <c r="B747" s="96"/>
    </row>
    <row r="748">
      <c r="B748" s="96"/>
    </row>
    <row r="749">
      <c r="B749" s="96"/>
    </row>
    <row r="750">
      <c r="B750" s="96"/>
    </row>
    <row r="751">
      <c r="B751" s="96"/>
    </row>
    <row r="752">
      <c r="B752" s="96"/>
    </row>
    <row r="753">
      <c r="B753" s="96"/>
    </row>
    <row r="754">
      <c r="B754" s="96"/>
    </row>
    <row r="755">
      <c r="B755" s="96"/>
    </row>
    <row r="756">
      <c r="B756" s="96"/>
    </row>
    <row r="757">
      <c r="B757" s="96"/>
    </row>
    <row r="758">
      <c r="B758" s="96"/>
    </row>
    <row r="759">
      <c r="B759" s="96"/>
    </row>
    <row r="760">
      <c r="B760" s="96"/>
    </row>
    <row r="761">
      <c r="B761" s="96"/>
    </row>
    <row r="762">
      <c r="B762" s="96"/>
    </row>
    <row r="763">
      <c r="B763" s="96"/>
    </row>
    <row r="764">
      <c r="B764" s="96"/>
    </row>
    <row r="765">
      <c r="B765" s="96"/>
    </row>
    <row r="766">
      <c r="B766" s="96"/>
    </row>
    <row r="767">
      <c r="B767" s="96"/>
    </row>
    <row r="768">
      <c r="B768" s="96"/>
    </row>
    <row r="769">
      <c r="B769" s="96"/>
    </row>
    <row r="770">
      <c r="B770" s="96"/>
    </row>
    <row r="771">
      <c r="B771" s="96"/>
    </row>
    <row r="772">
      <c r="B772" s="96"/>
    </row>
    <row r="773">
      <c r="B773" s="96"/>
    </row>
    <row r="774">
      <c r="B774" s="96"/>
    </row>
    <row r="775">
      <c r="B775" s="96"/>
    </row>
    <row r="776">
      <c r="B776" s="96"/>
    </row>
    <row r="777">
      <c r="B777" s="96"/>
    </row>
    <row r="778">
      <c r="B778" s="96"/>
    </row>
    <row r="779">
      <c r="B779" s="96"/>
    </row>
    <row r="780">
      <c r="B780" s="96"/>
    </row>
    <row r="781">
      <c r="B781" s="96"/>
    </row>
    <row r="782">
      <c r="B782" s="96"/>
    </row>
    <row r="783">
      <c r="B783" s="96"/>
    </row>
    <row r="784">
      <c r="B784" s="96"/>
    </row>
    <row r="785">
      <c r="B785" s="96"/>
    </row>
    <row r="786">
      <c r="B786" s="96"/>
    </row>
    <row r="787">
      <c r="B787" s="96"/>
    </row>
    <row r="788">
      <c r="B788" s="96"/>
    </row>
    <row r="789">
      <c r="B789" s="96"/>
    </row>
    <row r="790">
      <c r="B790" s="96"/>
    </row>
    <row r="791">
      <c r="B791" s="96"/>
    </row>
    <row r="792">
      <c r="B792" s="96"/>
    </row>
    <row r="793">
      <c r="B793" s="96"/>
    </row>
    <row r="794">
      <c r="B794" s="96"/>
    </row>
    <row r="795">
      <c r="B795" s="96"/>
    </row>
    <row r="796">
      <c r="B796" s="96"/>
    </row>
    <row r="797">
      <c r="B797" s="96"/>
    </row>
    <row r="798">
      <c r="B798" s="96"/>
    </row>
    <row r="799">
      <c r="B799" s="96"/>
    </row>
    <row r="800">
      <c r="B800" s="96"/>
    </row>
    <row r="801">
      <c r="B801" s="96"/>
    </row>
    <row r="802">
      <c r="B802" s="96"/>
    </row>
    <row r="803">
      <c r="B803" s="96"/>
    </row>
    <row r="804">
      <c r="B804" s="96"/>
    </row>
    <row r="805">
      <c r="B805" s="96"/>
    </row>
    <row r="806">
      <c r="B806" s="96"/>
    </row>
    <row r="807">
      <c r="B807" s="96"/>
    </row>
    <row r="808">
      <c r="B808" s="96"/>
    </row>
    <row r="809">
      <c r="B809" s="96"/>
    </row>
    <row r="810">
      <c r="B810" s="96"/>
    </row>
    <row r="811">
      <c r="B811" s="96"/>
    </row>
    <row r="812">
      <c r="B812" s="96"/>
    </row>
    <row r="813">
      <c r="B813" s="96"/>
    </row>
    <row r="814">
      <c r="B814" s="96"/>
    </row>
    <row r="815">
      <c r="B815" s="96"/>
    </row>
    <row r="816">
      <c r="B816" s="96"/>
    </row>
    <row r="817">
      <c r="B817" s="96"/>
    </row>
    <row r="818">
      <c r="B818" s="96"/>
    </row>
    <row r="819">
      <c r="B819" s="96"/>
    </row>
    <row r="820">
      <c r="B820" s="96"/>
    </row>
    <row r="821">
      <c r="B821" s="96"/>
    </row>
    <row r="822">
      <c r="B822" s="96"/>
    </row>
    <row r="823">
      <c r="B823" s="96"/>
    </row>
    <row r="824">
      <c r="B824" s="96"/>
    </row>
    <row r="825">
      <c r="B825" s="96"/>
    </row>
    <row r="826">
      <c r="B826" s="96"/>
    </row>
    <row r="827">
      <c r="B827" s="96"/>
    </row>
    <row r="828">
      <c r="B828" s="96"/>
    </row>
    <row r="829">
      <c r="B829" s="96"/>
    </row>
    <row r="830">
      <c r="B830" s="96"/>
    </row>
    <row r="831">
      <c r="B831" s="96"/>
    </row>
    <row r="832">
      <c r="B832" s="96"/>
    </row>
    <row r="833">
      <c r="B833" s="96"/>
    </row>
    <row r="834">
      <c r="B834" s="96"/>
    </row>
    <row r="835">
      <c r="B835" s="96"/>
    </row>
    <row r="836">
      <c r="B836" s="96"/>
    </row>
    <row r="837">
      <c r="B837" s="96"/>
    </row>
    <row r="838">
      <c r="B838" s="96"/>
    </row>
    <row r="839">
      <c r="B839" s="96"/>
    </row>
    <row r="840">
      <c r="B840" s="96"/>
    </row>
    <row r="841">
      <c r="B841" s="96"/>
    </row>
    <row r="842">
      <c r="B842" s="96"/>
    </row>
    <row r="843">
      <c r="B843" s="96"/>
    </row>
    <row r="844">
      <c r="B844" s="96"/>
    </row>
    <row r="845">
      <c r="B845" s="96"/>
    </row>
    <row r="846">
      <c r="B846" s="96"/>
    </row>
    <row r="847">
      <c r="B847" s="96"/>
    </row>
    <row r="848">
      <c r="B848" s="96"/>
    </row>
    <row r="849">
      <c r="B849" s="96"/>
    </row>
    <row r="850">
      <c r="B850" s="96"/>
    </row>
    <row r="851">
      <c r="B851" s="96"/>
    </row>
    <row r="852">
      <c r="B852" s="96"/>
    </row>
    <row r="853">
      <c r="B853" s="96"/>
    </row>
    <row r="854">
      <c r="B854" s="96"/>
    </row>
    <row r="855">
      <c r="B855" s="96"/>
    </row>
    <row r="856">
      <c r="B856" s="96"/>
    </row>
    <row r="857">
      <c r="B857" s="96"/>
    </row>
    <row r="858">
      <c r="B858" s="96"/>
    </row>
    <row r="859">
      <c r="B859" s="96"/>
    </row>
    <row r="860">
      <c r="B860" s="96"/>
    </row>
    <row r="861">
      <c r="B861" s="96"/>
    </row>
    <row r="862">
      <c r="B862" s="96"/>
    </row>
    <row r="863">
      <c r="B863" s="96"/>
    </row>
    <row r="864">
      <c r="B864" s="96"/>
    </row>
    <row r="865">
      <c r="B865" s="96"/>
    </row>
    <row r="866">
      <c r="B866" s="96"/>
    </row>
    <row r="867">
      <c r="B867" s="96"/>
    </row>
    <row r="868">
      <c r="B868" s="96"/>
    </row>
    <row r="869">
      <c r="B869" s="96"/>
    </row>
    <row r="870">
      <c r="B870" s="96"/>
    </row>
    <row r="871">
      <c r="B871" s="96"/>
    </row>
    <row r="872">
      <c r="B872" s="96"/>
    </row>
    <row r="873">
      <c r="B873" s="96"/>
    </row>
    <row r="874">
      <c r="B874" s="96"/>
    </row>
    <row r="875">
      <c r="B875" s="96"/>
    </row>
    <row r="876">
      <c r="B876" s="96"/>
    </row>
    <row r="877">
      <c r="B877" s="96"/>
    </row>
    <row r="878">
      <c r="B878" s="96"/>
    </row>
    <row r="879">
      <c r="B879" s="96"/>
    </row>
    <row r="880">
      <c r="B880" s="96"/>
    </row>
    <row r="881">
      <c r="B881" s="96"/>
    </row>
    <row r="882">
      <c r="B882" s="96"/>
    </row>
    <row r="883">
      <c r="B883" s="96"/>
    </row>
    <row r="884">
      <c r="B884" s="96"/>
    </row>
    <row r="885">
      <c r="B885" s="96"/>
    </row>
    <row r="886">
      <c r="B886" s="96"/>
    </row>
    <row r="887">
      <c r="B887" s="96"/>
    </row>
    <row r="888">
      <c r="B888" s="96"/>
    </row>
    <row r="889">
      <c r="B889" s="96"/>
    </row>
    <row r="890">
      <c r="B890" s="96"/>
    </row>
    <row r="891">
      <c r="B891" s="96"/>
    </row>
    <row r="892">
      <c r="B892" s="96"/>
    </row>
    <row r="893">
      <c r="B893" s="96"/>
    </row>
    <row r="894">
      <c r="B894" s="96"/>
    </row>
    <row r="895">
      <c r="B895" s="96"/>
    </row>
    <row r="896">
      <c r="B896" s="96"/>
    </row>
    <row r="897">
      <c r="B897" s="96"/>
    </row>
    <row r="898">
      <c r="B898" s="96"/>
    </row>
    <row r="899">
      <c r="B899" s="96"/>
    </row>
    <row r="900">
      <c r="B900" s="96"/>
    </row>
    <row r="901">
      <c r="B901" s="96"/>
    </row>
    <row r="902">
      <c r="B902" s="96"/>
    </row>
    <row r="903">
      <c r="B903" s="96"/>
    </row>
    <row r="904">
      <c r="B904" s="96"/>
    </row>
    <row r="905">
      <c r="B905" s="96"/>
    </row>
    <row r="906">
      <c r="B906" s="96"/>
    </row>
    <row r="907">
      <c r="B907" s="96"/>
    </row>
    <row r="908">
      <c r="B908" s="96"/>
    </row>
    <row r="909">
      <c r="B909" s="96"/>
    </row>
    <row r="910">
      <c r="B910" s="96"/>
    </row>
    <row r="911">
      <c r="B911" s="96"/>
    </row>
    <row r="912">
      <c r="B912" s="96"/>
    </row>
    <row r="913">
      <c r="B913" s="96"/>
    </row>
    <row r="914">
      <c r="B914" s="96"/>
    </row>
    <row r="915">
      <c r="B915" s="96"/>
    </row>
    <row r="916">
      <c r="B916" s="96"/>
    </row>
    <row r="917">
      <c r="B917" s="96"/>
    </row>
    <row r="918">
      <c r="B918" s="96"/>
    </row>
    <row r="919">
      <c r="B919" s="96"/>
    </row>
    <row r="920">
      <c r="B920" s="96"/>
    </row>
    <row r="921">
      <c r="B921" s="96"/>
    </row>
    <row r="922">
      <c r="B922" s="96"/>
    </row>
    <row r="923">
      <c r="B923" s="96"/>
    </row>
    <row r="924">
      <c r="B924" s="96"/>
    </row>
    <row r="925">
      <c r="B925" s="96"/>
    </row>
    <row r="926">
      <c r="B926" s="96"/>
    </row>
    <row r="927">
      <c r="B927" s="96"/>
    </row>
    <row r="928">
      <c r="B928" s="96"/>
    </row>
    <row r="929">
      <c r="B929" s="96"/>
    </row>
    <row r="930">
      <c r="B930" s="96"/>
    </row>
    <row r="931">
      <c r="B931" s="96"/>
    </row>
    <row r="932">
      <c r="B932" s="96"/>
    </row>
    <row r="933">
      <c r="B933" s="96"/>
    </row>
    <row r="934">
      <c r="B934" s="96"/>
    </row>
    <row r="935">
      <c r="B935" s="96"/>
    </row>
    <row r="936">
      <c r="B936" s="96"/>
    </row>
    <row r="937">
      <c r="B937" s="96"/>
    </row>
    <row r="938">
      <c r="B938" s="96"/>
    </row>
    <row r="939">
      <c r="B939" s="96"/>
    </row>
    <row r="940">
      <c r="B940" s="96"/>
    </row>
    <row r="941">
      <c r="B941" s="96"/>
    </row>
    <row r="942">
      <c r="B942" s="96"/>
    </row>
    <row r="943">
      <c r="B943" s="96"/>
    </row>
    <row r="944">
      <c r="B944" s="96"/>
    </row>
    <row r="945">
      <c r="B945" s="96"/>
    </row>
    <row r="946">
      <c r="B946" s="96"/>
    </row>
    <row r="947">
      <c r="B947" s="96"/>
    </row>
    <row r="948">
      <c r="B948" s="96"/>
    </row>
    <row r="949">
      <c r="B949" s="96"/>
    </row>
    <row r="950">
      <c r="B950" s="96"/>
    </row>
    <row r="951">
      <c r="B951" s="96"/>
    </row>
    <row r="952">
      <c r="B952" s="96"/>
    </row>
    <row r="953">
      <c r="B953" s="96"/>
    </row>
    <row r="954">
      <c r="B954" s="96"/>
    </row>
    <row r="955">
      <c r="B955" s="96"/>
    </row>
    <row r="956">
      <c r="B956" s="96"/>
    </row>
    <row r="957">
      <c r="B957" s="96"/>
    </row>
    <row r="958">
      <c r="B958" s="96"/>
    </row>
    <row r="959">
      <c r="B959" s="96"/>
    </row>
    <row r="960">
      <c r="B960" s="96"/>
    </row>
    <row r="961">
      <c r="B961" s="96"/>
    </row>
    <row r="962">
      <c r="B962" s="96"/>
    </row>
    <row r="963">
      <c r="B963" s="96"/>
    </row>
    <row r="964">
      <c r="B964" s="96"/>
    </row>
    <row r="965">
      <c r="B965" s="96"/>
    </row>
    <row r="966">
      <c r="B966" s="96"/>
    </row>
    <row r="967">
      <c r="B967" s="96"/>
    </row>
    <row r="968">
      <c r="B968" s="96"/>
    </row>
    <row r="969">
      <c r="B969" s="96"/>
    </row>
    <row r="970">
      <c r="B970" s="96"/>
    </row>
    <row r="971">
      <c r="B971" s="96"/>
    </row>
    <row r="972">
      <c r="B972" s="96"/>
    </row>
    <row r="973">
      <c r="B973" s="96"/>
    </row>
    <row r="974">
      <c r="B974" s="96"/>
    </row>
    <row r="975">
      <c r="B975" s="96"/>
    </row>
    <row r="976">
      <c r="B976" s="96"/>
    </row>
    <row r="977">
      <c r="B977" s="96"/>
    </row>
    <row r="978">
      <c r="B978" s="96"/>
    </row>
    <row r="979">
      <c r="B979" s="96"/>
    </row>
    <row r="980">
      <c r="B980" s="96"/>
    </row>
    <row r="981">
      <c r="B981" s="96"/>
    </row>
    <row r="982">
      <c r="B982" s="96"/>
    </row>
    <row r="983">
      <c r="B983" s="96"/>
    </row>
    <row r="984">
      <c r="B984" s="96"/>
    </row>
    <row r="985">
      <c r="B985" s="96"/>
    </row>
    <row r="986">
      <c r="B986" s="96"/>
    </row>
    <row r="987">
      <c r="B987" s="96"/>
    </row>
    <row r="988">
      <c r="B988" s="96"/>
    </row>
    <row r="989">
      <c r="B989" s="96"/>
    </row>
    <row r="990">
      <c r="B990" s="96"/>
    </row>
    <row r="991">
      <c r="B991" s="96"/>
    </row>
    <row r="992">
      <c r="B992" s="96"/>
    </row>
    <row r="993">
      <c r="B993" s="96"/>
    </row>
    <row r="994">
      <c r="B994" s="96"/>
    </row>
    <row r="995">
      <c r="B995" s="96"/>
    </row>
    <row r="996">
      <c r="B996" s="96"/>
    </row>
    <row r="997">
      <c r="B997" s="96"/>
    </row>
    <row r="998">
      <c r="B998" s="96"/>
    </row>
    <row r="999">
      <c r="B999" s="96"/>
    </row>
    <row r="1000">
      <c r="B1000" s="96"/>
    </row>
    <row r="1001">
      <c r="B1001" s="96"/>
    </row>
    <row r="1002">
      <c r="B1002" s="96"/>
    </row>
  </sheetData>
  <mergeCells count="2">
    <mergeCell ref="A6:Z6"/>
    <mergeCell ref="A10:Z10"/>
  </mergeCells>
  <drawing r:id="rId1"/>
</worksheet>
</file>